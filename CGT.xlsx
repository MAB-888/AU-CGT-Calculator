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defaultThemeVersion="202300"/>
  <xr:revisionPtr revIDLastSave="529" documentId="8_{DF5E053F-CB68-4027-86E2-CFA5A787E346}" xr6:coauthVersionLast="47" xr6:coauthVersionMax="47" xr10:uidLastSave="{88BAF28A-ACB7-4FFF-BCCB-599AB4B3DF0E}"/>
  <bookViews>
    <workbookView xWindow="-110" yWindow="-110" windowWidth="22620" windowHeight="13500" tabRatio="872" xr2:uid="{7CDE9F0B-EAF6-47B4-86EE-1709A4210FD2}"/>
  </bookViews>
  <sheets>
    <sheet name="Instructions" sheetId="18" r:id="rId1"/>
    <sheet name="Transaction History" sheetId="1" r:id="rId2"/>
    <sheet name="Parsed" sheetId="4" r:id="rId3"/>
    <sheet name="FIFO Matches" sheetId="6" r:id="rId4"/>
    <sheet name="CGT Summary" sheetId="7" r:id="rId5"/>
    <sheet name="CGT Detail" sheetId="15" r:id="rId6"/>
    <sheet name="Holdings 30 Jun" sheetId="9" r:id="rId7"/>
    <sheet name="Trust Distributions" sheetId="17" r:id="rId8"/>
    <sheet name="Considerations" sheetId="8" r:id="rId9"/>
    <sheet name="Cost Base Adjustments" sheetId="11" r:id="rId10"/>
    <sheet name="Account Summary" sheetId="16" r:id="rId11"/>
    <sheet name="Account 1 (CommSec)" sheetId="12" r:id="rId12"/>
    <sheet name="Account 2 (CommSec Pocket)" sheetId="3" r:id="rId13"/>
    <sheet name="Account 3 (CMC)" sheetId="13" r:id="rId14"/>
  </sheets>
  <definedNames>
    <definedName name="_xlnm._FilterDatabase" localSheetId="5" hidden="1">'CGT Detail'!$A$4:$V$128</definedName>
    <definedName name="_xlnm._FilterDatabase" localSheetId="1" hidden="1">'Transaction History'!$A$1:$F$272</definedName>
    <definedName name="NoTradeData">COUNTA('Account 1 (CommSec)'!$A$2:$A$20000,'Account 2 (CommSec Pocket)'!$A$2:$A$20000,'Account 3 (CMC)'!$A$2:$A$20000,'Cost Base Adjustments'!$A$5:$A$30)=0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G30" i="11" l="1"/>
  <c r="D4" i="17"/>
  <c r="F10" i="7" s="1"/>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8" i="17"/>
  <c r="E7" i="17"/>
  <c r="C4" i="17"/>
  <c r="F9" i="7" s="1"/>
  <c r="G9" i="11"/>
  <c r="E9" i="17" l="1"/>
  <c r="E4" i="17" s="1"/>
  <c r="B4" i="17"/>
  <c r="F8" i="7" s="1"/>
  <c r="N2" i="13" a="1"/>
  <c r="P2" i="13" a="1"/>
  <c r="M2" i="13" a="1"/>
  <c r="L2" i="13" a="1"/>
  <c r="K2" i="13" a="1"/>
  <c r="J2" i="13" a="1"/>
  <c r="O2" i="3" a="1"/>
  <c r="M2" i="3" a="1"/>
  <c r="L2" i="3" a="1"/>
  <c r="K2" i="3" a="1"/>
  <c r="J2" i="3" a="1"/>
  <c r="I2" i="3" a="1"/>
  <c r="I2" i="12" a="1"/>
  <c r="O2" i="12" a="1"/>
  <c r="M2" i="12" a="1"/>
  <c r="L2" i="12" a="1"/>
  <c r="K2" i="12" a="1"/>
  <c r="J2" i="12" a="1"/>
  <c r="G29" i="11"/>
  <c r="G28" i="11"/>
  <c r="G27" i="11"/>
  <c r="G26" i="11"/>
  <c r="G25" i="11"/>
  <c r="G24" i="11"/>
  <c r="G23" i="11"/>
  <c r="G22" i="11"/>
  <c r="G21" i="11"/>
  <c r="G20" i="11"/>
  <c r="G19" i="11"/>
  <c r="G18" i="11"/>
  <c r="G17" i="11"/>
  <c r="G16" i="11"/>
  <c r="G15" i="11"/>
  <c r="G14" i="11"/>
  <c r="G13" i="11"/>
  <c r="G12" i="11"/>
  <c r="G11" i="11"/>
  <c r="G10" i="11"/>
  <c r="G8" i="11"/>
  <c r="G7" i="11"/>
  <c r="G6" i="11"/>
  <c r="G5" i="11"/>
  <c r="R3" i="16" l="1" a="1"/>
  <c r="T3" i="16" a="1"/>
  <c r="E3" i="16" a="1"/>
  <c r="W3" i="16" a="1"/>
  <c r="O3" i="16" a="1"/>
  <c r="G3" i="16" a="1"/>
  <c r="Q3" i="16" a="1"/>
  <c r="I3" i="16" a="1"/>
  <c r="A3" i="16" a="1"/>
  <c r="S3" i="16" a="1"/>
  <c r="B3" i="16" a="1"/>
  <c r="K3" i="16" a="1"/>
  <c r="C3" i="16" a="1"/>
  <c r="L3" i="16" a="1"/>
  <c r="U3" i="16" a="1"/>
  <c r="D3" i="16" a="1"/>
  <c r="M3" i="16" a="1"/>
  <c r="O2" i="13" a="1"/>
  <c r="N2" i="12" a="1"/>
  <c r="N2" i="3" a="1"/>
  <c r="J3" i="16" l="1" a="1"/>
  <c r="A2" i="1" a="1"/>
  <c r="N3" i="16" a="1"/>
  <c r="F3" i="16" a="1"/>
  <c r="V3" i="16" a="1"/>
  <c r="B3" i="9"/>
  <c r="B5" i="7"/>
  <c r="S6" i="7"/>
  <c r="D2" i="4" l="1" a="1"/>
  <c r="I2" i="4" a="1"/>
  <c r="F2" i="4" a="1"/>
  <c r="E2" i="4" a="1"/>
  <c r="B2" i="4" a="1"/>
  <c r="A2" i="4" a="1"/>
  <c r="C2" i="4" a="1"/>
  <c r="G2" i="4" l="1" a="1"/>
  <c r="A2" i="8" a="1"/>
  <c r="J2" i="8" a="1"/>
  <c r="S9" i="7" s="1"/>
  <c r="A22" i="7" s="1"/>
  <c r="B22" i="7" s="1"/>
  <c r="H2" i="4" a="1"/>
  <c r="I22" i="7" l="1"/>
  <c r="D22" i="7"/>
  <c r="C22" i="7"/>
  <c r="U2" i="4" a="1"/>
  <c r="K2" i="4" a="1"/>
  <c r="A2" i="6" l="1" a="1"/>
  <c r="E22" i="7" l="1" a="1"/>
  <c r="F22" i="7" a="1"/>
  <c r="G22" i="7" a="1"/>
  <c r="S10" i="7" a="1"/>
  <c r="A5" i="15" a="1"/>
  <c r="H22" i="7" l="1"/>
  <c r="J22" i="7"/>
  <c r="S12" i="7" a="1"/>
  <c r="A23" i="7"/>
  <c r="Q5" i="15" a="1"/>
  <c r="L22" i="7" l="1"/>
  <c r="K22" i="7"/>
  <c r="D23" i="7"/>
  <c r="A24" i="7"/>
  <c r="B23" i="7"/>
  <c r="C23" i="7"/>
  <c r="U5" i="15" a="1"/>
  <c r="V5" i="15" a="1"/>
  <c r="R5" i="15" a="1"/>
  <c r="T5" i="15" a="1"/>
  <c r="S5" i="15" a="1"/>
  <c r="C24" i="7"/>
  <c r="M22" i="7" l="1"/>
  <c r="N22" i="7" s="1"/>
  <c r="O22" i="7" s="1"/>
  <c r="P22" i="7"/>
  <c r="I23" i="7" s="1"/>
  <c r="B24" i="7"/>
  <c r="D24" i="7"/>
  <c r="G24" i="7" s="1" a="1"/>
  <c r="A25" i="7"/>
  <c r="D25" i="7" s="1"/>
  <c r="G23" i="7" a="1"/>
  <c r="E23" i="7" a="1"/>
  <c r="F23" i="7" a="1"/>
  <c r="F24" i="7" a="1"/>
  <c r="E24" i="7" a="1"/>
  <c r="A26" i="7" l="1"/>
  <c r="C25" i="7"/>
  <c r="B25" i="7"/>
  <c r="J23" i="7"/>
  <c r="H23" i="7"/>
  <c r="H24" i="7"/>
  <c r="B26" i="7" l="1"/>
  <c r="D26" i="7"/>
  <c r="C26" i="7"/>
  <c r="A27" i="7"/>
  <c r="E25" i="7" a="1"/>
  <c r="F25" i="7" a="1"/>
  <c r="H25" i="7" s="1"/>
  <c r="G25" i="7" a="1"/>
  <c r="L23" i="7"/>
  <c r="K23" i="7"/>
  <c r="E26" i="7" a="1"/>
  <c r="F26" i="7" l="1" a="1"/>
  <c r="H26" i="7" s="1"/>
  <c r="G26" i="7" a="1"/>
  <c r="C27" i="7"/>
  <c r="A28" i="7"/>
  <c r="B27" i="7"/>
  <c r="D27" i="7"/>
  <c r="G27" i="7" s="1" a="1"/>
  <c r="F27" i="7" a="1"/>
  <c r="E27" i="7" a="1"/>
  <c r="M23" i="7"/>
  <c r="N23" i="7" s="1"/>
  <c r="O23" i="7" s="1"/>
  <c r="P23" i="7"/>
  <c r="I24" i="7" s="1"/>
  <c r="B28" i="7" l="1"/>
  <c r="D28" i="7"/>
  <c r="C28" i="7"/>
  <c r="G28" i="7" s="1" a="1"/>
  <c r="A29" i="7"/>
  <c r="H27" i="7"/>
  <c r="J24" i="7"/>
  <c r="F28" i="7" a="1"/>
  <c r="E28" i="7" a="1"/>
  <c r="G29" i="7" l="1" a="1"/>
  <c r="F29" i="7" a="1"/>
  <c r="E29" i="7" a="1"/>
  <c r="D29" i="7"/>
  <c r="A30" i="7"/>
  <c r="B29" i="7"/>
  <c r="C29" i="7"/>
  <c r="H29" i="7"/>
  <c r="L24" i="7"/>
  <c r="K24" i="7"/>
  <c r="H28" i="7"/>
  <c r="E30" i="7" a="1"/>
  <c r="G30" i="7" a="1"/>
  <c r="F30" i="7" a="1"/>
  <c r="D30" i="7"/>
  <c r="B30" i="7"/>
  <c r="H30" i="7"/>
  <c r="A31" i="7"/>
  <c r="C30" i="7"/>
  <c r="M24" i="7" l="1"/>
  <c r="P24" i="7"/>
  <c r="I25" i="7" s="1"/>
  <c r="F31" i="7" a="1"/>
  <c r="E31" i="7" a="1"/>
  <c r="D31" i="7"/>
  <c r="G31" i="7" a="1"/>
  <c r="B31" i="7"/>
  <c r="C31" i="7"/>
  <c r="H31" i="7"/>
  <c r="O24" i="7" l="1"/>
  <c r="N24" i="7"/>
  <c r="J25" i="7"/>
  <c r="E8" i="7"/>
  <c r="B8" i="7" s="1"/>
  <c r="E10" i="7"/>
  <c r="B10" i="7" s="1"/>
  <c r="E9" i="7"/>
  <c r="B9" i="7" s="1"/>
  <c r="B4" i="9"/>
  <c r="A7" i="9" s="1" a="1"/>
  <c r="L25" i="7" l="1"/>
  <c r="K25" i="7"/>
  <c r="B11" i="7"/>
  <c r="E4" i="9"/>
  <c r="E3" i="9"/>
  <c r="I7" i="9" a="1"/>
  <c r="P25" i="7" l="1"/>
  <c r="I26" i="7" s="1"/>
  <c r="M25" i="7"/>
  <c r="J26" i="7" l="1"/>
  <c r="K26" i="7"/>
  <c r="M26" i="7" s="1"/>
  <c r="N26" i="7" s="1"/>
  <c r="N25" i="7"/>
  <c r="O25" i="7" s="1"/>
  <c r="I28" i="7"/>
  <c r="O26" i="7" l="1"/>
  <c r="L26" i="7"/>
  <c r="P26" i="7"/>
  <c r="I27" i="7" s="1"/>
  <c r="J28" i="7"/>
  <c r="J27" i="7" l="1"/>
  <c r="B12" i="7"/>
  <c r="B13" i="7" s="1"/>
  <c r="K28" i="7"/>
  <c r="L28" i="7"/>
  <c r="B14" i="7" l="1"/>
  <c r="B15" i="7" s="1"/>
  <c r="B16" i="7" s="1"/>
  <c r="L27" i="7"/>
  <c r="K27" i="7"/>
  <c r="M28" i="7"/>
  <c r="N28" i="7" s="1"/>
  <c r="O28" i="7" s="1"/>
  <c r="P28" i="7"/>
  <c r="I29" i="7"/>
  <c r="J29" i="7"/>
  <c r="L29" i="7" s="1"/>
  <c r="M27" i="7" l="1"/>
  <c r="N27" i="7" s="1"/>
  <c r="O27" i="7" s="1"/>
  <c r="P27" i="7"/>
  <c r="B17" i="7" s="1"/>
  <c r="K29" i="7"/>
  <c r="M29" i="7" s="1"/>
  <c r="N29" i="7" s="1"/>
  <c r="P29" i="7" l="1"/>
  <c r="I30" i="7" s="1"/>
  <c r="O29" i="7"/>
  <c r="J30" i="7" l="1"/>
  <c r="L30" i="7" s="1"/>
  <c r="K30" i="7" l="1"/>
  <c r="M30" i="7" l="1"/>
  <c r="P30" i="7"/>
  <c r="I31" i="7" s="1"/>
  <c r="J31" i="7" l="1"/>
  <c r="K31" i="7"/>
  <c r="M31" i="7" s="1"/>
  <c r="N30" i="7"/>
  <c r="O30" i="7"/>
  <c r="N31" i="7"/>
  <c r="L31" i="7" l="1"/>
  <c r="O31" i="7" s="1"/>
  <c r="P31"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<sst xmlns="http://schemas.openxmlformats.org/spreadsheetml/2006/main" count="426" uniqueCount="254">
  <si>
    <t>Company</t>
  </si>
  <si>
    <t>Super Fund</t>
  </si>
  <si>
    <t>Individual</t>
  </si>
  <si>
    <t>Date</t>
  </si>
  <si>
    <t>Reference</t>
  </si>
  <si>
    <t>Details</t>
  </si>
  <si>
    <t>Debit($)</t>
  </si>
  <si>
    <t>Credit($)</t>
  </si>
  <si>
    <t>Quantity</t>
  </si>
  <si>
    <t>Unit Price</t>
  </si>
  <si>
    <t>Cost Base</t>
  </si>
  <si>
    <t>Net Proceeds</t>
  </si>
  <si>
    <t>Side</t>
  </si>
  <si>
    <t>Ticker</t>
  </si>
  <si>
    <t>Total Amount</t>
  </si>
  <si>
    <t>Brokerage Fee</t>
  </si>
  <si>
    <t>Buy Date</t>
  </si>
  <si>
    <t>Sort Key</t>
  </si>
  <si>
    <t>Cumulative Qty Bought</t>
  </si>
  <si>
    <t>Cumulative Qty Sold</t>
  </si>
  <si>
    <t>Buy Qty (original lot)</t>
  </si>
  <si>
    <t>Buy Unit Price</t>
  </si>
  <si>
    <t>Buy Cost Base</t>
  </si>
  <si>
    <t>Sale Date</t>
  </si>
  <si>
    <t>Matched Qty</t>
  </si>
  <si>
    <t>Sale Unit Price</t>
  </si>
  <si>
    <t>Allocated Brokerage</t>
  </si>
  <si>
    <t>Allocated Proceeds</t>
  </si>
  <si>
    <t>Allocated Cost Base</t>
  </si>
  <si>
    <t>Gain/(Loss)</t>
  </si>
  <si>
    <t>Holding Days</t>
  </si>
  <si>
    <t>Classification</t>
  </si>
  <si>
    <t>Parameters &amp; Lookups</t>
  </si>
  <si>
    <t>Entity Type</t>
  </si>
  <si>
    <t>CGT Discount</t>
  </si>
  <si>
    <t>Trust</t>
  </si>
  <si>
    <t>FY min (ending yr)</t>
  </si>
  <si>
    <t>FY max (ending yr)</t>
  </si>
  <si>
    <t>FY list (dropdown)</t>
  </si>
  <si>
    <t>CGT Summary — Financial-Year Rollup</t>
  </si>
  <si>
    <t>Capital gains tax rollup by financial year (ending 30 June) with entity discount &amp; loss carry-forward</t>
  </si>
  <si>
    <t>Financial Year</t>
  </si>
  <si>
    <t>CGT Discount Rate</t>
  </si>
  <si>
    <t>FINANCIAL YEAR ROLLUP — running loss carry-forward (losses applied to short-term gains first, then discountable gains, before discount)</t>
  </si>
  <si>
    <t>FY End</t>
  </si>
  <si>
    <t>FY Label</t>
  </si>
  <si>
    <t>Period Start</t>
  </si>
  <si>
    <t>Period End</t>
  </si>
  <si>
    <t>Long Term Gain</t>
  </si>
  <si>
    <t>Short Term Gain</t>
  </si>
  <si>
    <t>Capital Loss</t>
  </si>
  <si>
    <t>Net Before Discount</t>
  </si>
  <si>
    <t>Loss C/F In</t>
  </si>
  <si>
    <t>Loss→ST</t>
  </si>
  <si>
    <t>Loss→LT</t>
  </si>
  <si>
    <t>ST Taxable</t>
  </si>
  <si>
    <t>LT After Loss</t>
  </si>
  <si>
    <t>Net Taxable Gain</t>
  </si>
  <si>
    <t>Loss C/F Out</t>
  </si>
  <si>
    <t>SELECTED FINANCIAL YEAR RESULTS</t>
  </si>
  <si>
    <t>Long Term Gain (discountable)</t>
  </si>
  <si>
    <t>Short Term Gain (non-discountable)</t>
  </si>
  <si>
    <t>Capital Loss (this year)</t>
  </si>
  <si>
    <t>Prior-year losses carried forward (in)</t>
  </si>
  <si>
    <t>Losses applied this year</t>
  </si>
  <si>
    <t>Net discountable gain after losses</t>
  </si>
  <si>
    <t>CGT discount applied</t>
  </si>
  <si>
    <t>Net Taxable Capital Gain</t>
  </si>
  <si>
    <t>Losses carried forward to next year (out)</t>
  </si>
  <si>
    <t>First Transaction Date</t>
  </si>
  <si>
    <t>Last Transaction Date</t>
  </si>
  <si>
    <t>Special-events register for tickers in the transaction history — corporate actions (ticker changes, M&amp;A, demergers, splits, buybacks, delistings) that affect cost base but may not appear in the broker statement.</t>
  </si>
  <si>
    <t>SECTION 1 — RESEARCHED SPECIAL EVENTS</t>
  </si>
  <si>
    <t>One source per row: if an event has multiple sources, repeat Ticker / Month-Year / Event Type / Description and change only the Source Link.</t>
  </si>
  <si>
    <t>Month/Year of Event</t>
  </si>
  <si>
    <t>Event Type</t>
  </si>
  <si>
    <t>Description / Summary</t>
  </si>
  <si>
    <t>Source Link</t>
  </si>
  <si>
    <t>SECTION 2 — SPECIAL EVENTS LOG (manual)</t>
  </si>
  <si>
    <t>Add your own events here. Event Type is a dropdown. One source per row (repeat the row, change only the link).</t>
  </si>
  <si>
    <t>Demerger</t>
  </si>
  <si>
    <t>Current Holdings — as at 30 June</t>
  </si>
  <si>
    <t>Remaining (unsold) purchase batches by FIFO as at the selected financial year-end. Each batch shown on its own row (quantities not combined).</t>
  </si>
  <si>
    <t>As at (cut-off date)</t>
  </si>
  <si>
    <t>Purchase Date</t>
  </si>
  <si>
    <t>Remaining Qty</t>
  </si>
  <si>
    <t>Original Lot Qty</t>
  </si>
  <si>
    <t>Carrying Value / Cost Base</t>
  </si>
  <si>
    <t>Holding lines</t>
  </si>
  <si>
    <t>Total carrying value</t>
  </si>
  <si>
    <t>Balance($)</t>
  </si>
  <si>
    <t>Total Quantity</t>
  </si>
  <si>
    <t>Cost Base Adjustments</t>
  </si>
  <si>
    <t>Manual register of corporate-action adjustments to cost base (M&amp;A, takeovers, demergers, buy-backs, ticker changes) for tickers in the transaction history. Enter one row per adjustment in the blue cells. See the guidance below for how to record each event type.</t>
  </si>
  <si>
    <t>Quantity (+/-)</t>
  </si>
  <si>
    <t>Notes / Description</t>
  </si>
  <si>
    <t>How to record common corporate actions</t>
  </si>
  <si>
    <t>Qty (+/-)</t>
  </si>
  <si>
    <t>Unit Price basis</t>
  </si>
  <si>
    <t>How to record it</t>
  </si>
  <si>
    <t>Takeover / Delisting (cash)</t>
  </si>
  <si>
    <t>Negative</t>
  </si>
  <si>
    <t>Cash received per share</t>
  </si>
  <si>
    <t>Disposal of the whole parcel for cash — removes the holding (CGT event A1).</t>
  </si>
  <si>
    <t>M&amp;A / Merger (scrip / in-specie)</t>
  </si>
  <si>
    <t>Positive</t>
  </si>
  <si>
    <t>Market value per new share at distribution</t>
  </si>
  <si>
    <t>Add the new shares received at market value; treat the original parcel per the ATO ruling (dividend vs roll-over).</t>
  </si>
  <si>
    <t>New: Positive</t>
  </si>
  <si>
    <t>Apportioned cost base per share</t>
  </si>
  <si>
    <t>Two rows: reduce the parent cost base by the apportioned %, then add the new entity at its apportioned cost base.</t>
  </si>
  <si>
    <t>Off-market Buyback</t>
  </si>
  <si>
    <t>Capital component per share</t>
  </si>
  <si>
    <t>Disposal of the bought-back units at the capital (not dividend) component.</t>
  </si>
  <si>
    <t>Ticker / Name Change</t>
  </si>
  <si>
    <t>Old: Neg / New: Pos (or leave blank)</t>
  </si>
  <si>
    <t>Original cost base per unit</t>
  </si>
  <si>
    <t>No CGT event. Optional: remove the old code and re-add the new code at the same cost base (net nil).</t>
  </si>
  <si>
    <t>Return of Capital</t>
  </si>
  <si>
    <t>0 (no units)</t>
  </si>
  <si>
    <t>Use Total Amount</t>
  </si>
  <si>
    <t>Reduce cost base by the amount returned; no disposal unless it exceeds the remaining cost base.</t>
  </si>
  <si>
    <t>Brokerage</t>
  </si>
  <si>
    <t>Sign convention: positive Quantity = buy / units added (cost base increases); negative Quantity = sell / units disposed (holding decreases). Total Amount = Quantity × Unit Price + Brokerage — so it is positive for buys (cash cost incl. fee) and negative for sells (net proceeds shown as a decrease).</t>
  </si>
  <si>
    <t>2025-26</t>
  </si>
  <si>
    <t>Distribution / Dividend Reinvestment</t>
  </si>
  <si>
    <t>Price per unit from statement</t>
  </si>
  <si>
    <t>New units acquired under a DRP / distribution reinvestment. Enter the units received (positive) and their cost base per the distribution or holding statement.</t>
  </si>
  <si>
    <t>Split / Consolidation</t>
  </si>
  <si>
    <t>Old: Neg / New: Pos</t>
  </si>
  <si>
    <t>Total cost base ÷ new unit count</t>
  </si>
  <si>
    <t>No CGT event (same ticker, unit count changes). Two rows: remove the pre-event units (negative), then add the post-consolidation / split units (positive) so the total cost base is unchanged.</t>
  </si>
  <si>
    <t>Reorganisations (no CGT event) — consolidations / splits</t>
  </si>
  <si>
    <t>Rescales parcels only — no disposal. Ratio = new units per old unit (e.g. 25-into-1 consolidation = 0.04; 3-for-1 split = 3). Applies to every parcel of the ticker acquired on or before the effective date; cost base and acquisition dates are preserved.</t>
  </si>
  <si>
    <t>Effective Date</t>
  </si>
  <si>
    <t>Ratio (new per old)</t>
  </si>
  <si>
    <t>CGT Detail — Matched Parcels by Financial Year</t>
  </si>
  <si>
    <t>Every FIFO buy/sell matched parcel, tagged with its financial year (by Sale Date, FY ending 30 Jun) and sorted by FY then ticker. For human cross-checking of the CGT Summary rollup.</t>
  </si>
  <si>
    <t>Per-Financial-Year Reconciliation (recomputed from detail → should tie to CGT Summary cols E/F/G)</t>
  </si>
  <si>
    <t>Parcels</t>
  </si>
  <si>
    <t>LT Gain (&gt;1yr)</t>
  </si>
  <si>
    <t>ST Gain (&lt;1yr)</t>
  </si>
  <si>
    <t>Net Gain/(Loss)</t>
  </si>
  <si>
    <t>Type</t>
  </si>
  <si>
    <t>Description</t>
  </si>
  <si>
    <t>Debit $</t>
  </si>
  <si>
    <t>Credit $</t>
  </si>
  <si>
    <t>Balance $</t>
  </si>
  <si>
    <t>Old Ticker</t>
  </si>
  <si>
    <t>New Ticker</t>
  </si>
  <si>
    <t>Account 1 (CommSec)</t>
  </si>
  <si>
    <t>Account 2 (CommSec Pocket)</t>
  </si>
  <si>
    <t>Account 3 (CMC)</t>
  </si>
  <si>
    <t>Account</t>
  </si>
  <si>
    <t>PURCHASES</t>
  </si>
  <si>
    <t>SALES</t>
  </si>
  <si>
    <t>Ticker (dropdown source)</t>
  </si>
  <si>
    <t>Demerger — cost-base reapportionment (roll-over)</t>
  </si>
  <si>
    <t>Splits a parcel's cost base between the original ticker and the new demerged entity. Factor = fraction of cost base retained by the original ticker (0.8864 = 88.64% retained, 11.36% transferred to the new ticker). Applied to the ticker's parcels acquired on/before the effective date, for disposals in the listed account on/after that date. Enter the new ticker's parcels in the register above.</t>
  </si>
  <si>
    <t>Cost Base Retained</t>
  </si>
  <si>
    <t>← Update here</t>
  </si>
  <si>
    <t>Capital Loss carried forward from prior year</t>
  </si>
  <si>
    <t>Sale of shares</t>
  </si>
  <si>
    <t>Trust/Managed Fund Distributions</t>
  </si>
  <si>
    <t>Total</t>
  </si>
  <si>
    <t>This Financial Year</t>
  </si>
  <si>
    <t>Trusts/Managed Investment Trust</t>
  </si>
  <si>
    <t>Capital gain - discount</t>
  </si>
  <si>
    <t>Capital gain - other method</t>
  </si>
  <si>
    <t>Capital loss</t>
  </si>
  <si>
    <t>Grossed up capital gains</t>
  </si>
  <si>
    <t>Grossed up Capital Gains</t>
  </si>
  <si>
    <t>CGT Calculator — How to Use This Workbook</t>
  </si>
  <si>
    <t>Works out Australian capital gains tax on share trades using FIFO parcel matching, by financial year (1 July – 30 June).</t>
  </si>
  <si>
    <t>Cells marked "← Update here" or "← Update below" are inputs. Everything else is calculated by formulas, so don't type over it.</t>
  </si>
  <si>
    <t>Step</t>
  </si>
  <si>
    <t>Task</t>
  </si>
  <si>
    <t>What to do</t>
  </si>
  <si>
    <t>Link</t>
  </si>
  <si>
    <t>1. SET UP</t>
  </si>
  <si>
    <t>Choose financial year &amp; entity</t>
  </si>
  <si>
    <t>On CGT Summary, pick the Financial Year in B3 (e.g. 2025-26) and the Entity Type in B4 (Individual, Trust, Super Fund or Company). The CGT discount rate in B5 fills in automatically.</t>
  </si>
  <si>
    <t>Go to →</t>
  </si>
  <si>
    <t>Enter prior-year losses</t>
  </si>
  <si>
    <t>Only needed if your losses come from years whose trades aren't loaded in this workbook. Enter last year's net capital loss carried forward (from your tax return) in CGT Summary F5. Leave it at 0 to use the carry-forward worked out from earlier years' trades in this workbook. F5 overrides that figure only when it's above 0.</t>
  </si>
  <si>
    <t>2. LOAD YOUR BROKER DATA</t>
  </si>
  <si>
    <t>Export your CommSec transaction statement and paste it into columns A–F from row 2 (Date, Reference, Details, Debit, Credit, Balance). A row counts as a trade when Details starts with B or S in the format "B 100 ABC @ 1.2345". Transfers are ignored. Total Amount comes from Debit/Credit, and brokerage is the difference from quantity × price. Parsed trades show in columns I–O.</t>
  </si>
  <si>
    <t>Same as step 3. Paste the CommSec Pocket statement into columns A–F from row 2. Parsed trades show in columns I–O.</t>
  </si>
  <si>
    <t>Paste the CMC Markets statement into columns A–G from row 2 (Date, Reference, Type, Description, Debit, Credit, Balance). A row counts as a trade when Description starts with "Bght" or "Sold". Total Amount comes from Debit/Credit, and brokerage is the difference from quantity × price. Parsed trades show in columns J–P.</t>
  </si>
  <si>
    <t>Check the combined trade list</t>
  </si>
  <si>
    <t>Tip</t>
  </si>
  <si>
    <t>Paste values only (Ctrl+Alt+V → Values) so the sheet formatting stays intact. Leave unused accounts blank. Never type into the parsed columns on the right of each account tab.</t>
  </si>
  <si>
    <t>3. ADJUSTMENTS</t>
  </si>
  <si>
    <t>Review corporate events</t>
  </si>
  <si>
    <t>Considerations lists every ticker with its first and last trade date. Use it to spot tickers that changed name, were taken over or delisted. Log events in columns D–H for your records (this register does not change the calculations).</t>
  </si>
  <si>
    <t>Record cost base adjustments</t>
  </si>
  <si>
    <t>Add trust / managed fund distributions</t>
  </si>
  <si>
    <t>Set the Financial Year in B2 to match CGT Summary. From row 7, enter each trust or MIT's annual tax statement (AMMA) amounts in columns A–D: name, discount-method capital gain, other-method capital gain and capital loss. Enter discount gains grossed up (before the CGT discount), because CGT Summary applies the discount itself. Totals flow to CGT Summary F8:F10 only when the year matches.</t>
  </si>
  <si>
    <t>4. REVIEW RESULTS</t>
  </si>
  <si>
    <t>Read the CGT summary</t>
  </si>
  <si>
    <t>Check the parcel detail</t>
  </si>
  <si>
    <t>CGT Detail lists every matched buy/sell parcel with its financial year, holding days and classification. The reconciliation in columns Q–V should tie to the share-sales rollup on CGT Summary (columns E–G, from row 22). Trust distributions are not included.</t>
  </si>
  <si>
    <t>Reconcile holdings</t>
  </si>
  <si>
    <t>Holdings 30 Jun shows the unsold parcels at the selected year-end. Compare against your broker's 30 June holding statement. A difference usually means a missing trade or corporate action.</t>
  </si>
  <si>
    <t>Transfer to your tax return</t>
  </si>
  <si>
    <t>5. HOW IT WORKS</t>
  </si>
  <si>
    <t>•</t>
  </si>
  <si>
    <t>Calculation tabs (don't edit)</t>
  </si>
  <si>
    <t>Parsed, FIFO Matches, CGT Detail, Holdings 30 Jun, Transaction History and Account Summary are fully formula-driven and update when you add data.</t>
  </si>
  <si>
    <t>FIFO matching</t>
  </si>
  <si>
    <t>Each sale is matched against the oldest unsold parcel of the same ticker in the same account (first in, first out).</t>
  </si>
  <si>
    <t>12-month rule</t>
  </si>
  <si>
    <t>Buy brokerage is included in the cost base. Sell brokerage reduces sale proceeds and is spread across the matched parcels.</t>
  </si>
  <si>
    <t>Loss order</t>
  </si>
  <si>
    <t>Current and carried-forward losses are applied to short-term gains first, then to discountable gains, before the CGT discount.</t>
  </si>
  <si>
    <t>Financial year</t>
  </si>
  <si>
    <t>Each sale is assigned to a financial year by its trade (sale) date. Years end on 30 June.</t>
  </si>
  <si>
    <t>Account Summary shows each account side by side. Transaction History combines every broker trade, sorted by account then date. Cost base adjustment entries are added on top of these in the Parsed tab. Check quantity, price and brokerage against your contract notes.</t>
  </si>
  <si>
    <t>Use this for events that don't appear in broker statements. Each table is read from fixed rows:
• Main register (rows 5–30, columns A–F): Account, Ticker, Date, Quantity (+/-), Unit Price, Brokerage. Total Amount (G) is calculated. Event Type (H) and Notes (I) are for your records only. Enter cash takeovers/delistings here as a negative quantity at the cash price per share, and DRP units as a positive quantity.
• Consolidations/splits (rows 47–66, columns A–C): Ticker, Effective Date, Ratio (new units per old). Applies to parcels bought on or before the effective date.
• Demergers (rows 72–90, columns A–D): Account, Ticker, Effective Date, fraction of cost base retained by the original ticker. Also add the new demerged shares to the main register at their apportioned cost base.
The guide at rows 32–42 is reference only.</t>
  </si>
  <si>
    <t>Rows 7–17 of CGT Summary show the selected year (shares plus trust distributions): long-term (discountable) gains, short-term gains, capital losses, losses applied, CGT discount, Net Taxable Capital Gain and losses carried forward. Rows 21–31 show a share-sales rollup across all years. Note: Losses carried forward to next year (B17) comes from that share-sales rollup, so it does not reflect an F5 override or trust capital losses.</t>
  </si>
  <si>
    <t>Use Net Taxable Capital Gain (B16) and Losses carried forward to next year (B17) from CGT Summary. If you've used F5 or entered trust capital losses, check B17 by hand (B10 + B12 − B13). For individuals this is the capital gains section of the return (Item 18). Keep this workbook with your tax records.</t>
  </si>
  <si>
    <t>← From Trust Distributions tab</t>
  </si>
  <si>
    <t>← Update here, overrides the workbook-calculated carry-forward</t>
  </si>
  <si>
    <t>← Update below</t>
  </si>
  <si>
    <t>Disclaimer: This workbook is provided for general information and personal use only. It is not tax, financial or legal advice, and is not intended for commercial use or for preparing returns for others. The formulas were developed with the assistance of AI, combined with the author's own finance and accounting knowledge, and have been tested against the author's own portfolio only. That testing does not guarantee they are correct for your circumstances, and the results must not be relied on without your own review. The formulas are a calculation aid only and may not capture every circumstance (e.g. corporate actions, rollovers, foreign assets, non-standard trades or changes in tax law). You must not rely solely on the results - you must check every figure against your broker statements, contract notes, tax statements and current ATO guidance, or have them reviewed by a registered tax agent (if required) before lodging. The workbook is provided as is, with no obligation to maintain, update or support it, and no responsibility or liability is accepted for any errors, omissions, or any loss or penalty arising from its use.</t>
  </si>
  <si>
    <t>← Update below as per tax statement (Column A-D)</t>
  </si>
  <si>
    <t>← Update below (Column D-H)</t>
  </si>
  <si>
    <t>© 2026 MAB. CGT Calculator is licensed under Creative Commons Attribution-NonCommercial-ShareAlike 4.0 International (CC BY-NC-SA 4.0). You are free to share and adapt this workbook, provided you: (1) give appropriate credit to MAB and link to the licence; (2) do not use it, or any adapted version, for commercial purposes; and (3) share any adapted version under the same licence. Licence terms: https://creativecommons.org/licenses/by-nc-sa/4.0/</t>
  </si>
  <si>
    <t>⚠ Not tax advice. This workbook is general information only. Check every result against your own records and current ATO guidance (or with a registered tax agent) before lodging. See Scope &amp; Version and the Disclaimer at the bottom of this sheet.</t>
  </si>
  <si>
    <t>⚠ Not tax advice. Check all results before lodging. See the Instructions tab for the scope, version and disclaimer.</t>
  </si>
  <si>
    <t>6. SCOPE &amp; VERSION</t>
  </si>
  <si>
    <t>Version</t>
  </si>
  <si>
    <t>1.0 (October 2026)</t>
  </si>
  <si>
    <t>Years tested</t>
  </si>
  <si>
    <t>Who it's for</t>
  </si>
  <si>
    <t>Rules assumed</t>
  </si>
  <si>
    <t>Parcel matching</t>
  </si>
  <si>
    <t>FIFO is used for convenience. If your records identify the specific parcels you sold, the ATO allows you to use those instead, and your results may differ.</t>
  </si>
  <si>
    <t>Not covered</t>
  </si>
  <si>
    <t>Foreign residents, foreign-listed assets or foreign currency, options, warrants, CFDs, crypto, employee share schemes, pre-CGT assets (acquired before 20 September 1985), cost base indexation, small business concessions and inherited assets. Corporate actions are only reflected if you record them on Cost Base Adjustments.</t>
  </si>
  <si>
    <t>Future changes</t>
  </si>
  <si>
    <t>Tax law, ATO rules and rates can change. Any change after the version date (e.g. to the CGT discount, the 12-month rule, loss rules or entity rates) may make this workbook inaccurate or no longer applicable for later years. It is not updated automatically, so check current ATO guidance for each year you use it.</t>
  </si>
  <si>
    <t>Broker formats</t>
  </si>
  <si>
    <t>Parsing relies on each broker's export layout at the version date. If a broker changes its statement format, the parsed trades may be wrong or incomplete.</t>
  </si>
  <si>
    <t>Sheet protection</t>
  </si>
  <si>
    <t>Formula cells are protected to prevent accidental changes; input cells stay editable. To change formulas, use Review → Unprotect Sheet (no password).</t>
  </si>
  <si>
    <t>Australian resident taxpayers (Individual, Trust, Super Fund or Company) holding ASX-listed shares and ETFs, with trade data exported from CommSec, CommSec Pocket or CMC Markets (other brokers are not covered in this spreadsheet)</t>
  </si>
  <si>
    <t>Tested against the author's own trades for the 2021-22 to 2025-26 financial years only. Earlier or later years have not been tested.</t>
  </si>
  <si>
    <t>A parcel is long-term (discountable) only if the sale date is after the same calendar date 12 months after purchase — i.e. at least 12 months excluding both the purchase day and the sale day (ATO rule). Example: bought 2 Feb 2020 → discount applies to sales on or after 3 Feb 2021. Others are short-term.</t>
  </si>
  <si>
    <t>Excel version</t>
  </si>
  <si>
    <t>No affiliation</t>
  </si>
  <si>
    <t>This workbook is an independent, unofficial tool. It is not affiliated with, endorsed by or sponsored by the Australian Taxation Office, CommSec (Commonwealth Bank of Australia), CMC Markets or any other broker. Their names are used only to identify the statement formats the workbook reads, and all trademarks belong to their owners.</t>
  </si>
  <si>
    <t>ATO CGT rules as at the version date: assets held at least 12 months (excluding the purchase and sale days) qualify for the CGT discount (50% for individuals and trusts, 33⅓% for super funds, nil for companies); sales are matched to parcels on a first-in, first-out (FIFO) basis; and capital losses are applied to non-discountable gains first.</t>
  </si>
  <si>
    <t>Requires Microsoft 365 or Excel 2024 or later (uses dynamic arrays and newer functions such as LET, LAMBDA, MAP, VSTACK and XLOOKUP). It will not work correctly in Excel 2021 or earlier, Google Sheets, Numbers or LibreOffice.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</si>
</sst>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m/d/yyyy"/>
    <numFmt numFmtId="165" formatCode="0.0%"/>
    <numFmt numFmtId="166" formatCode="&quot;$&quot;#,##0.00;\(&quot;$&quot;#,##0.00\);&quot;-&quot;"/>
    <numFmt numFmtId="167" formatCode="mmm\ yyyy"/>
    <numFmt numFmtId="168" formatCode="d\ mmm\ yyyy"/>
    <numFmt numFmtId="169" formatCode="&quot;$&quot;#,##0.0000"/>
    <numFmt numFmtId="170" formatCode="#,##0;\(#,##0\)"/>
    <numFmt numFmtId="171" formatCode="0.0000"/>
    <numFmt numFmtId="172" formatCode="dd/mm/yyyy"/>
    <numFmt numFmtId="173" formatCode="&quot;$&quot;#,##0.00"/>
    <numFmt numFmtId="174" formatCode="&quot;$&quot;#,##0.00;\(&quot;$&quot;#,##0.00\)"/>
    <numFmt numFmtId="175" formatCode="_(* #,##0.00_);_(* \(#,##0.00\);_(* &quot;-&quot;??_);_(@_)"/>
  </numFmts>
  <fonts count="38"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666666"/>
      <name val="Aptos Narrow"/>
      <family val="2"/>
      <scheme val="minor"/>
    </font>
    <font>
      <b/>
      <sz val="14"/>
      <color theme="1"/>
      <name val="Aptos Narrow"/>
      <family val="2"/>
      <scheme val="minor"/>
    </font>
    <font>
      <i/>
      <sz val="11"/>
      <color rgb="FF666666"/>
      <name val="Aptos Narrow"/>
      <family val="2"/>
      <scheme val="minor"/>
    </font>
    <font>
      <sz val="11"/>
      <color rgb="FF0000FF"/>
      <name val="Aptos Narrow"/>
      <family val="2"/>
      <scheme val="minor"/>
    </font>
    <font>
      <b/>
      <sz val="11"/>
      <color rgb="FF1F4E78"/>
      <name val="Aptos Narrow"/>
      <family val="2"/>
      <scheme val="minor"/>
    </font>
    <font>
      <b/>
      <i/>
      <sz val="11"/>
      <color rgb="FF666666"/>
      <name val="Aptos Narrow"/>
      <family val="2"/>
      <scheme val="minor"/>
    </font>
    <font>
      <b/>
      <sz val="11"/>
      <color rgb="FFFFFFFF"/>
      <name val="Aptos Narrow"/>
      <family val="2"/>
      <scheme val="minor"/>
    </font>
    <font>
      <b/>
      <sz val="11"/>
      <color rgb="FFC00000"/>
      <name val="Aptos Narrow"/>
      <family val="2"/>
      <scheme val="minor"/>
    </font>
    <font>
      <b/>
      <sz val="14"/>
      <color theme="1"/>
      <name val="Aptos Narrow"/>
      <scheme val="minor"/>
    </font>
    <font>
      <i/>
      <sz val="11"/>
      <color rgb="FF666666"/>
      <name val="Aptos Narrow"/>
      <scheme val="minor"/>
    </font>
    <font>
      <sz val="11"/>
      <color theme="1"/>
      <name val="Aptos Narrow"/>
      <scheme val="minor"/>
    </font>
    <font>
      <b/>
      <sz val="11"/>
      <color theme="1"/>
      <name val="Aptos Narrow"/>
      <scheme val="minor"/>
    </font>
    <font>
      <sz val="11"/>
      <color rgb="FF008000"/>
      <name val="Aptos Narrow"/>
      <scheme val="minor"/>
    </font>
    <font>
      <u/>
      <sz val="11"/>
      <color theme="10"/>
      <name val="Aptos Narrow"/>
      <family val="2"/>
      <scheme val="minor"/>
    </font>
    <font>
      <sz val="11"/>
      <color rgb="FF000000"/>
      <name val="Aptos Narrow"/>
      <family val="2"/>
      <scheme val="minor"/>
    </font>
    <font>
      <b/>
      <sz val="12"/>
      <color theme="1"/>
      <name val="Aptos Narrow"/>
      <family val="2"/>
      <scheme val="minor"/>
    </font>
    <font>
      <sz val="11"/>
      <color rgb="FF000000"/>
      <name val="Aptos Narrow"/>
      <scheme val="minor"/>
    </font>
    <font>
      <b/>
      <sz val="11"/>
      <name val="Aptos Narrow"/>
      <family val="2"/>
      <scheme val="minor"/>
    </font>
    <font>
      <sz val="11"/>
      <color rgb="FFFF0000"/>
      <name val="Aptos Narrow"/>
      <family val="2"/>
      <scheme val="minor"/>
    </font>
    <font>
      <b/>
      <sz val="16"/>
      <color rgb="FF1F3864"/>
      <name val="Arial"/>
    </font>
    <font>
      <sz val="10"/>
      <color theme="1"/>
      <name val="Arial"/>
    </font>
    <font>
      <i/>
      <sz val="10"/>
      <color rgb="FF595959"/>
      <name val="Arial"/>
    </font>
    <font>
      <b/>
      <sz val="10"/>
      <color rgb="FFFFFFFF"/>
      <name val="Arial"/>
    </font>
    <font>
      <b/>
      <sz val="10"/>
      <color rgb="FF1F3864"/>
      <name val="Arial"/>
    </font>
    <font>
      <b/>
      <sz val="10"/>
      <color theme="1"/>
      <name val="Arial"/>
    </font>
    <font>
      <u/>
      <sz val="10"/>
      <color rgb="FF0563C1"/>
      <name val="Arial"/>
    </font>
    <font>
      <b/>
      <u/>
      <sz val="10"/>
      <color rgb="FF0563C1"/>
      <name val="Arial"/>
    </font>
    <font>
      <b/>
      <i/>
      <sz val="10"/>
      <color theme="1"/>
      <name val="Arial"/>
    </font>
    <font>
      <i/>
      <sz val="10"/>
      <color theme="1"/>
      <name val="Arial"/>
    </font>
    <font>
      <i/>
      <sz val="10"/>
      <color rgb="FFC00000"/>
      <name val="Arial"/>
    </font>
    <font>
      <sz val="10"/>
      <color rgb="FF595959"/>
      <name val="Arial"/>
    </font>
    <font>
      <b/>
      <sz val="10"/>
      <color rgb="FFC00000"/>
      <name val="Arial"/>
    </font>
    <font>
      <b/>
      <sz val="11"/>
      <color rgb="FFC00000"/>
      <name val="Aptos Narrow"/>
      <scheme val="minor"/>
    </font>
    <font>
      <sz val="10"/>
      <color rgb="FF000000"/>
      <name val="Arial"/>
    </font>
    <font>
      <b/>
      <sz val="10"/>
      <color rgb="FF000000"/>
      <name val="Arial"/>
    </font>
  </fonts>
  <fills count="13">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rgb="FF1F4E78"/>
        <bgColor indexed="64"/>
      </patternFill>
    </fill>
    <fill>
      <patternFill patternType="solid">
        <fgColor rgb="FF548235"/>
        <bgColor indexed="64"/>
      </patternFill>
    </fill>
    <fill>
      <patternFill patternType="solid">
        <fgColor rgb="FFFCE4D6"/>
        <bgColor indexed="64"/>
      </patternFill>
    </fill>
    <fill>
      <patternFill patternType="solid">
        <fgColor rgb="FFF2F2F2"/>
        <bgColor indexed="64"/>
      </patternFill>
    </fill>
    <fill>
      <patternFill patternType="solid">
        <fgColor theme="5" tint="0.79998168889431442"/>
        <bgColor indexed="64"/>
      </patternFill>
    </fill>
    <fill>
      <patternFill patternType="solid">
        <fgColor rgb="FF1F3864"/>
        <bgColor indexed="64"/>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medium">
        <color rgb="FF808080"/>
      </bottom>
      <diagonal/>
    </border>
    <border>
      <left style="thin">
        <color rgb="FFBFBFBF"/>
      </left>
      <right style="thin">
        <color rgb="FFBFBFBF"/>
      </right>
      <top style="thin">
        <color rgb="FFBFBFBF"/>
      </top>
      <bottom/>
      <diagonal/>
    </border>
    <border>
      <left/>
      <right/>
      <top style="thin">
        <color auto="1"/>
      </top>
      <bottom/>
      <diagonal/>
    </border>
    <border>
      <left/>
      <right/>
      <top/>
      <bottom style="medium">
        <color auto="1"/>
      </bottom>
      <diagonal/>
    </border>
    <border>
      <left style="thin">
        <color rgb="FFBFBFBF"/>
      </left>
      <right style="thin">
        <color rgb="FFBFBFBF"/>
      </right>
      <top style="thin">
        <color rgb="FFBFBFBF"/>
      </top>
      <bottom style="medium">
        <color auto="1"/>
      </bottom>
      <diagonal/>
    </border>
    <border>
      <left/>
      <right/>
      <top style="thin">
        <color indexed="64"/>
      </top>
      <bottom style="double">
        <color indexed="64"/>
      </bottom>
      <diagonal/>
    </border>
    <border>
      <left/>
      <right/>
      <top/>
      <bottom style="thin">
        <color rgb="FFBFBFBF"/>
      </bottom>
      <diagonal/>
    </border>
    <border>
      <left/>
      <right/>
      <top style="thin">
        <color rgb="FFBFBFBF"/>
      </top>
      <bottom style="thin">
        <color rgb="FFBFBFBF"/>
      </bottom>
      <diagonal/>
    </border>
    <border>
      <left/>
      <right/>
      <top style="thin">
        <color rgb="FFBFBFBF"/>
      </top>
      <bottom/>
      <diagonal/>
    </border>
  </borders>
  <cellStyleXfs count="3">
    <xf numFmtId="0" fontId="0" fillId="0" borderId="0"/>
    <xf numFmtId="43" fontId="1" fillId="0" borderId="0" applyFont="0" applyFill="0" applyBorder="0" applyAlignment="0" applyProtection="0"/>
    <xf numFmtId="0" fontId="16" fillId="0" borderId="0" applyNumberFormat="0" applyFill="0" applyBorder="0" applyAlignment="0" applyProtection="0"/>
  </cellStyleXfs>
  <cellXfs count="172">
    <xf numFmtId="0" fontId="0" fillId="0" borderId="0" xfId="0"/>
    <xf numFmtId="0" fontId="0" fillId="0" borderId="0" xfId="0" applyProtection="1"/>
    <xf numFmtId="172" fontId="0" fillId="0" borderId="0" xfId="0" applyNumberFormat="1" applyProtection="1"/>
    <xf numFmtId="0" fontId="0" fillId="0" borderId="0" xfId="0" applyAlignment="1" applyProtection="1">
      <alignment horizontal="center"/>
    </xf>
    <xf numFmtId="3" fontId="0" fillId="0" borderId="0" xfId="0" applyNumberFormat="1" applyProtection="1"/>
    <xf numFmtId="169" fontId="0" fillId="0" borderId="0" xfId="0" applyNumberFormat="1" applyProtection="1"/>
    <xf numFmtId="173" fontId="0" fillId="0" borderId="0" xfId="0" applyNumberFormat="1" applyProtection="1"/>
    <xf numFmtId="14" fontId="0" fillId="0" borderId="0" xfId="0" applyNumberFormat="1" applyProtection="1"/>
    <xf numFmtId="43" fontId="0" fillId="0" borderId="0" xfId="1" applyFont="1" applyProtection="1"/>
    <xf numFmtId="164" fontId="0" fillId="0" borderId="0" xfId="0" applyNumberFormat="1" applyProtection="1"/>
    <xf numFmtId="165" fontId="0" fillId="0" borderId="0" xfId="0" applyNumberFormat="1" applyProtection="1"/>
    <xf numFmtId="165" fontId="0" fillId="0" borderId="0" xfId="0" applyNumberFormat="1" applyAlignment="1" applyProtection="1">
      <alignment horizontal="center"/>
    </xf>
    <xf numFmtId="166" fontId="0" fillId="11" borderId="0" xfId="0" applyNumberFormat="1" applyFill="1" applyProtection="1"/>
    <xf numFmtId="166" fontId="0" fillId="0" borderId="0" xfId="0" applyNumberFormat="1" applyProtection="1"/>
    <xf numFmtId="166" fontId="2" fillId="6" borderId="0" xfId="0" applyNumberFormat="1" applyFont="1" applyFill="1" applyProtection="1"/>
    <xf numFmtId="0" fontId="6" fillId="11" borderId="0" xfId="0" applyFont="1" applyFill="1" applyAlignment="1" applyProtection="1">
      <alignment horizontal="center"/>
      <protection locked="0"/>
    </xf>
    <xf numFmtId="166" fontId="0" fillId="11" borderId="0" xfId="0" applyNumberFormat="1" applyFill="1" applyProtection="1">
      <protection locked="0"/>
    </xf>
    <xf numFmtId="174" fontId="0" fillId="0" borderId="0" xfId="0" applyNumberFormat="1" applyProtection="1"/>
    <xf numFmtId="0" fontId="15" fillId="4" borderId="0" xfId="0" applyFont="1" applyFill="1" applyAlignment="1" applyProtection="1">
      <alignment horizontal="center"/>
    </xf>
    <xf numFmtId="3" fontId="13" fillId="0" borderId="0" xfId="0" applyNumberFormat="1" applyFont="1" applyAlignment="1" applyProtection="1">
      <alignment horizontal="center"/>
    </xf>
    <xf numFmtId="168" fontId="15" fillId="0" borderId="0" xfId="0" applyNumberFormat="1" applyFont="1" applyAlignment="1" applyProtection="1">
      <alignment horizontal="center"/>
    </xf>
    <xf numFmtId="166" fontId="14" fillId="6" borderId="0" xfId="0" applyNumberFormat="1" applyFont="1" applyFill="1" applyProtection="1"/>
    <xf numFmtId="0" fontId="13" fillId="0" borderId="0" xfId="0" applyFont="1" applyProtection="1"/>
    <xf numFmtId="43" fontId="20" fillId="0" borderId="8" xfId="1" applyFont="1" applyBorder="1" applyProtection="1"/>
    <xf numFmtId="43" fontId="0" fillId="0" borderId="0" xfId="0" applyNumberFormat="1" applyProtection="1"/>
    <xf numFmtId="0" fontId="0" fillId="0" borderId="0" xfId="0" applyProtection="1">
      <protection locked="0"/>
    </xf>
    <xf numFmtId="43" fontId="0" fillId="0" borderId="0" xfId="1" applyFont="1" applyProtection="1">
      <protection locked="0"/>
    </xf>
    <xf numFmtId="168" fontId="6" fillId="0" borderId="2" xfId="0" applyNumberFormat="1" applyFont="1" applyBorder="1" applyAlignment="1" applyProtection="1">
      <alignment horizontal="right" wrapText="1"/>
      <protection locked="0"/>
    </xf>
    <xf numFmtId="0" fontId="6" fillId="0" borderId="2" xfId="0" applyFont="1" applyBorder="1" applyAlignment="1" applyProtection="1">
      <alignment horizontal="center"/>
      <protection locked="0"/>
    </xf>
    <xf numFmtId="0" fontId="6" fillId="0" borderId="2" xfId="0" applyFont="1" applyBorder="1" applyProtection="1">
      <protection locked="0"/>
    </xf>
    <xf numFmtId="0" fontId="0" fillId="0" borderId="0" xfId="0" applyAlignment="1" applyProtection="1">
      <alignment wrapText="1"/>
      <protection locked="0"/>
    </xf>
    <xf numFmtId="0" fontId="9" fillId="7" borderId="0" xfId="0" applyFont="1" applyFill="1" applyProtection="1">
      <protection locked="0"/>
    </xf>
    <xf numFmtId="0" fontId="2" fillId="5" borderId="1" xfId="0" applyFont="1" applyFill="1" applyBorder="1" applyAlignment="1" applyProtection="1">
      <alignment wrapText="1"/>
      <protection locked="0"/>
    </xf>
    <xf numFmtId="0" fontId="2" fillId="5" borderId="1" xfId="0" applyFont="1" applyFill="1" applyBorder="1" applyProtection="1">
      <protection locked="0"/>
    </xf>
    <xf numFmtId="0" fontId="0" fillId="0" borderId="1" xfId="0" applyBorder="1" applyAlignment="1" applyProtection="1">
      <alignment wrapText="1"/>
      <protection locked="0"/>
    </xf>
    <xf numFmtId="0" fontId="16" fillId="0" borderId="1" xfId="2" applyBorder="1" applyAlignment="1" applyProtection="1">
      <alignment wrapText="1"/>
      <protection locked="0"/>
    </xf>
    <xf numFmtId="0" fontId="9" fillId="8" borderId="0" xfId="0" applyFont="1" applyFill="1" applyProtection="1">
      <protection locked="0"/>
    </xf>
    <xf numFmtId="0" fontId="2" fillId="6" borderId="1" xfId="0" applyFont="1" applyFill="1" applyBorder="1" applyAlignment="1" applyProtection="1">
      <alignment wrapText="1"/>
      <protection locked="0"/>
    </xf>
    <xf numFmtId="0" fontId="2" fillId="6" borderId="1" xfId="0" applyFont="1" applyFill="1" applyBorder="1" applyProtection="1">
      <protection locked="0"/>
    </xf>
    <xf numFmtId="166" fontId="17" fillId="0" borderId="2" xfId="0" applyNumberFormat="1" applyFont="1" applyBorder="1" applyAlignment="1" applyProtection="1">
      <alignment horizontal="right"/>
    </xf>
    <xf numFmtId="168" fontId="6" fillId="0" borderId="2" xfId="0" applyNumberFormat="1" applyFont="1" applyBorder="1" applyAlignment="1" applyProtection="1">
      <alignment horizontal="right"/>
      <protection locked="0"/>
    </xf>
    <xf numFmtId="170" fontId="6" fillId="0" borderId="2" xfId="0" applyNumberFormat="1" applyFont="1" applyBorder="1" applyAlignment="1" applyProtection="1">
      <alignment horizontal="right"/>
      <protection locked="0"/>
    </xf>
    <xf numFmtId="169" fontId="6" fillId="0" borderId="2" xfId="0" applyNumberFormat="1" applyFont="1" applyBorder="1" applyAlignment="1" applyProtection="1">
      <alignment horizontal="right"/>
      <protection locked="0"/>
    </xf>
    <xf numFmtId="166" fontId="6" fillId="0" borderId="2" xfId="0" applyNumberFormat="1" applyFont="1" applyBorder="1" applyAlignment="1" applyProtection="1">
      <alignment horizontal="right"/>
      <protection locked="0"/>
    </xf>
    <xf numFmtId="0" fontId="6" fillId="0" borderId="1" xfId="0" applyFont="1" applyBorder="1" applyProtection="1">
      <protection locked="0"/>
    </xf>
    <xf numFmtId="168" fontId="6" fillId="0" borderId="1" xfId="0" applyNumberFormat="1" applyFont="1" applyBorder="1" applyAlignment="1" applyProtection="1">
      <alignment horizontal="right"/>
      <protection locked="0"/>
    </xf>
    <xf numFmtId="170" fontId="6" fillId="0" borderId="1" xfId="0" applyNumberFormat="1" applyFont="1" applyBorder="1" applyAlignment="1" applyProtection="1">
      <alignment horizontal="right"/>
      <protection locked="0"/>
    </xf>
    <xf numFmtId="169" fontId="6" fillId="0" borderId="1" xfId="0" applyNumberFormat="1" applyFont="1" applyBorder="1" applyAlignment="1" applyProtection="1">
      <alignment horizontal="right"/>
      <protection locked="0"/>
    </xf>
    <xf numFmtId="166" fontId="6" fillId="0" borderId="1" xfId="0" applyNumberFormat="1" applyFont="1" applyBorder="1" applyAlignment="1" applyProtection="1">
      <alignment horizontal="right"/>
      <protection locked="0"/>
    </xf>
    <xf numFmtId="171" fontId="6" fillId="0" borderId="2" xfId="0" applyNumberFormat="1" applyFont="1" applyBorder="1" applyAlignment="1" applyProtection="1">
      <alignment horizontal="right"/>
      <protection locked="0"/>
    </xf>
    <xf numFmtId="171" fontId="6" fillId="0" borderId="1" xfId="0" applyNumberFormat="1" applyFont="1" applyBorder="1" applyAlignment="1" applyProtection="1">
      <alignment horizontal="right"/>
      <protection locked="0"/>
    </xf>
    <xf numFmtId="0" fontId="2" fillId="0" borderId="0" xfId="0" applyFont="1" applyProtection="1">
      <protection locked="0"/>
    </xf>
    <xf numFmtId="14" fontId="0" fillId="0" borderId="0" xfId="0" applyNumberFormat="1" applyProtection="1">
      <protection locked="0"/>
    </xf>
    <xf numFmtId="0" fontId="22" fillId="0" borderId="0" xfId="0" applyFont="1" applyAlignment="1" applyProtection="1">
      <alignment vertical="top"/>
      <protection locked="0"/>
    </xf>
    <xf numFmtId="0" fontId="23" fillId="0" borderId="0" xfId="0" applyFont="1" applyAlignment="1" applyProtection="1">
      <alignment vertical="top"/>
      <protection locked="0"/>
    </xf>
    <xf numFmtId="0" fontId="24" fillId="0" borderId="0" xfId="0" applyFont="1" applyAlignment="1" applyProtection="1">
      <alignment vertical="top"/>
      <protection locked="0"/>
    </xf>
    <xf numFmtId="0" fontId="34" fillId="4" borderId="0" xfId="0" applyFont="1" applyFill="1" applyAlignment="1" applyProtection="1">
      <alignment vertical="center" wrapText="1"/>
      <protection locked="0"/>
    </xf>
    <xf numFmtId="0" fontId="25" fillId="12" borderId="9" xfId="0" applyFont="1" applyFill="1" applyBorder="1" applyAlignment="1" applyProtection="1">
      <alignment vertical="top"/>
      <protection locked="0"/>
    </xf>
    <xf numFmtId="0" fontId="26" fillId="5" borderId="10" xfId="0" applyFont="1" applyFill="1" applyBorder="1" applyAlignment="1" applyProtection="1">
      <alignment horizontal="left" vertical="top"/>
      <protection locked="0"/>
    </xf>
    <xf numFmtId="0" fontId="26" fillId="5" borderId="10" xfId="0" applyFont="1" applyFill="1" applyBorder="1" applyAlignment="1" applyProtection="1">
      <alignment vertical="top"/>
      <protection locked="0"/>
    </xf>
    <xf numFmtId="0" fontId="26" fillId="5" borderId="10" xfId="0" applyFont="1" applyFill="1" applyBorder="1" applyAlignment="1" applyProtection="1">
      <alignment vertical="top" wrapText="1"/>
      <protection locked="0"/>
    </xf>
    <xf numFmtId="0" fontId="23" fillId="0" borderId="10" xfId="0" applyFont="1" applyBorder="1" applyAlignment="1" applyProtection="1">
      <alignment horizontal="center" vertical="top"/>
      <protection locked="0"/>
    </xf>
    <xf numFmtId="0" fontId="27" fillId="0" borderId="10" xfId="0" applyFont="1" applyBorder="1" applyAlignment="1" applyProtection="1">
      <alignment vertical="top"/>
      <protection locked="0"/>
    </xf>
    <xf numFmtId="0" fontId="23" fillId="0" borderId="10" xfId="0" applyFont="1" applyBorder="1" applyAlignment="1" applyProtection="1">
      <alignment vertical="top" wrapText="1"/>
      <protection locked="0"/>
    </xf>
    <xf numFmtId="0" fontId="28" fillId="0" borderId="10" xfId="2" applyFont="1" applyBorder="1" applyAlignment="1" applyProtection="1">
      <alignment horizontal="left" vertical="top"/>
      <protection locked="0"/>
    </xf>
    <xf numFmtId="0" fontId="29" fillId="5" borderId="10" xfId="0" applyFont="1" applyFill="1" applyBorder="1" applyAlignment="1" applyProtection="1">
      <alignment horizontal="left" vertical="top"/>
      <protection locked="0"/>
    </xf>
    <xf numFmtId="0" fontId="23" fillId="4" borderId="10" xfId="0" applyFont="1" applyFill="1" applyBorder="1" applyAlignment="1" applyProtection="1">
      <alignment horizontal="center" vertical="top"/>
      <protection locked="0"/>
    </xf>
    <xf numFmtId="0" fontId="30" fillId="4" borderId="10" xfId="0" applyFont="1" applyFill="1" applyBorder="1" applyAlignment="1" applyProtection="1">
      <alignment vertical="top"/>
      <protection locked="0"/>
    </xf>
    <xf numFmtId="0" fontId="31" fillId="4" borderId="10" xfId="0" applyFont="1" applyFill="1" applyBorder="1" applyAlignment="1" applyProtection="1">
      <alignment vertical="top" wrapText="1"/>
      <protection locked="0"/>
    </xf>
    <xf numFmtId="0" fontId="28" fillId="4" borderId="10" xfId="0" applyFont="1" applyFill="1" applyBorder="1" applyAlignment="1" applyProtection="1">
      <alignment horizontal="left" vertical="top"/>
      <protection locked="0"/>
    </xf>
    <xf numFmtId="0" fontId="23" fillId="0" borderId="10" xfId="0" applyFont="1" applyBorder="1" applyAlignment="1" applyProtection="1">
      <alignment vertical="top"/>
      <protection locked="0"/>
    </xf>
    <xf numFmtId="0" fontId="33" fillId="0" borderId="0" xfId="0" applyFont="1" applyAlignment="1" applyProtection="1">
      <alignment vertical="top" wrapText="1"/>
      <protection locked="0"/>
    </xf>
    <xf numFmtId="0" fontId="32" fillId="0" borderId="0" xfId="0" applyFont="1" applyAlignment="1" applyProtection="1">
      <alignment vertical="top" wrapText="1"/>
      <protection locked="0"/>
    </xf>
    <xf numFmtId="0" fontId="26" fillId="5" borderId="11" xfId="0" applyFont="1" applyFill="1" applyBorder="1" applyAlignment="1" applyProtection="1">
      <alignment horizontal="left"/>
      <protection locked="0"/>
    </xf>
    <xf numFmtId="0" fontId="36" fillId="0" borderId="11" xfId="0" applyFont="1" applyBorder="1" applyAlignment="1" applyProtection="1">
      <alignment horizontal="center" vertical="top" wrapText="1"/>
      <protection locked="0"/>
    </xf>
    <xf numFmtId="0" fontId="37" fillId="0" borderId="11" xfId="0" applyFont="1" applyBorder="1" applyAlignment="1" applyProtection="1">
      <alignment vertical="top" wrapText="1"/>
      <protection locked="0"/>
    </xf>
    <xf numFmtId="0" fontId="36" fillId="0" borderId="11" xfId="0" applyFont="1" applyBorder="1" applyAlignment="1" applyProtection="1">
      <alignment vertical="top" wrapText="1"/>
      <protection locked="0"/>
    </xf>
    <xf numFmtId="0" fontId="36" fillId="0" borderId="10" xfId="0" applyFont="1" applyBorder="1" applyAlignment="1" applyProtection="1">
      <alignment horizontal="center" vertical="top" wrapText="1"/>
      <protection locked="0"/>
    </xf>
    <xf numFmtId="0" fontId="37" fillId="0" borderId="10" xfId="0" applyFont="1" applyBorder="1" applyAlignment="1" applyProtection="1">
      <alignment vertical="top" wrapText="1"/>
      <protection locked="0"/>
    </xf>
    <xf numFmtId="0" fontId="36" fillId="0" borderId="10" xfId="0" applyFont="1" applyBorder="1" applyAlignment="1" applyProtection="1">
      <alignment vertical="top" wrapText="1"/>
      <protection locked="0"/>
    </xf>
    <xf numFmtId="172" fontId="0" fillId="0" borderId="0" xfId="0" applyNumberFormat="1" applyProtection="1">
      <protection locked="0"/>
    </xf>
    <xf numFmtId="0" fontId="0" fillId="0" borderId="0" xfId="0" applyAlignment="1" applyProtection="1">
      <alignment horizontal="center"/>
      <protection locked="0"/>
    </xf>
    <xf numFmtId="3" fontId="0" fillId="0" borderId="0" xfId="0" applyNumberFormat="1" applyProtection="1">
      <protection locked="0"/>
    </xf>
    <xf numFmtId="169" fontId="0" fillId="0" borderId="0" xfId="0" applyNumberFormat="1" applyProtection="1">
      <protection locked="0"/>
    </xf>
    <xf numFmtId="173" fontId="0" fillId="0" borderId="0" xfId="0" applyNumberFormat="1" applyProtection="1">
      <protection locked="0"/>
    </xf>
    <xf numFmtId="0" fontId="2" fillId="0" borderId="0" xfId="0" applyFont="1" applyAlignment="1" applyProtection="1">
      <alignment wrapText="1"/>
      <protection locked="0"/>
    </xf>
    <xf numFmtId="14" fontId="2" fillId="0" borderId="0" xfId="0" applyNumberFormat="1" applyFont="1" applyAlignment="1" applyProtection="1">
      <alignment wrapText="1"/>
      <protection locked="0"/>
    </xf>
    <xf numFmtId="43" fontId="2" fillId="0" borderId="0" xfId="1" applyFont="1" applyAlignment="1" applyProtection="1">
      <alignment wrapText="1"/>
      <protection locked="0"/>
    </xf>
    <xf numFmtId="0" fontId="10" fillId="3" borderId="0" xfId="0" applyFont="1" applyFill="1" applyAlignment="1" applyProtection="1">
      <alignment wrapText="1"/>
      <protection locked="0"/>
    </xf>
    <xf numFmtId="0" fontId="20" fillId="3" borderId="0" xfId="0" applyFont="1" applyFill="1" applyAlignment="1" applyProtection="1">
      <alignment wrapText="1"/>
      <protection locked="0"/>
    </xf>
    <xf numFmtId="0" fontId="2" fillId="3" borderId="0" xfId="0" applyFont="1" applyFill="1" applyAlignment="1" applyProtection="1">
      <alignment wrapText="1"/>
      <protection locked="0"/>
    </xf>
    <xf numFmtId="14" fontId="2" fillId="3" borderId="0" xfId="0" applyNumberFormat="1" applyFont="1" applyFill="1" applyAlignment="1" applyProtection="1">
      <alignment wrapText="1"/>
      <protection locked="0"/>
    </xf>
    <xf numFmtId="0" fontId="10" fillId="2" borderId="0" xfId="0" applyFont="1" applyFill="1" applyAlignment="1" applyProtection="1">
      <alignment wrapText="1"/>
      <protection locked="0"/>
    </xf>
    <xf numFmtId="0" fontId="20" fillId="2" borderId="0" xfId="0" applyFont="1" applyFill="1" applyAlignment="1" applyProtection="1">
      <alignment wrapText="1"/>
      <protection locked="0"/>
    </xf>
    <xf numFmtId="0" fontId="2" fillId="2" borderId="0" xfId="0" applyFont="1" applyFill="1" applyAlignment="1" applyProtection="1">
      <alignment wrapText="1"/>
      <protection locked="0"/>
    </xf>
    <xf numFmtId="14" fontId="2" fillId="2" borderId="0" xfId="0" applyNumberFormat="1" applyFont="1" applyFill="1" applyAlignment="1" applyProtection="1">
      <alignment wrapText="1"/>
      <protection locked="0"/>
    </xf>
    <xf numFmtId="43" fontId="2" fillId="0" borderId="0" xfId="1" applyFont="1" applyProtection="1">
      <protection locked="0"/>
    </xf>
    <xf numFmtId="164" fontId="0" fillId="0" borderId="0" xfId="0" applyNumberFormat="1" applyProtection="1">
      <protection locked="0"/>
    </xf>
    <xf numFmtId="175" fontId="0" fillId="0" borderId="0" xfId="1" applyNumberFormat="1" applyFont="1" applyProtection="1">
      <protection locked="0"/>
    </xf>
    <xf numFmtId="175" fontId="0" fillId="0" borderId="0" xfId="0" applyNumberFormat="1" applyProtection="1">
      <protection locked="0"/>
    </xf>
    <xf numFmtId="0" fontId="4" fillId="0" borderId="0" xfId="0" applyFont="1" applyProtection="1">
      <protection locked="0"/>
    </xf>
    <xf numFmtId="0" fontId="3" fillId="0" borderId="0" xfId="0" applyFont="1" applyProtection="1">
      <protection locked="0"/>
    </xf>
    <xf numFmtId="0" fontId="5" fillId="0" borderId="0" xfId="0" applyFont="1" applyProtection="1">
      <protection locked="0"/>
    </xf>
    <xf numFmtId="0" fontId="21" fillId="0" borderId="0" xfId="0" applyFont="1" applyProtection="1">
      <protection locked="0"/>
    </xf>
    <xf numFmtId="165" fontId="0" fillId="0" borderId="0" xfId="0" applyNumberFormat="1" applyProtection="1">
      <protection locked="0"/>
    </xf>
    <xf numFmtId="0" fontId="35" fillId="4" borderId="0" xfId="0" applyFont="1" applyFill="1" applyAlignment="1" applyProtection="1">
      <alignment vertical="center"/>
      <protection locked="0"/>
    </xf>
    <xf numFmtId="0" fontId="7" fillId="0" borderId="0" xfId="0" applyFont="1" applyProtection="1">
      <protection locked="0"/>
    </xf>
    <xf numFmtId="166" fontId="0" fillId="0" borderId="0" xfId="0" applyNumberFormat="1" applyProtection="1">
      <protection locked="0"/>
    </xf>
    <xf numFmtId="0" fontId="2" fillId="5" borderId="0" xfId="0" applyFont="1" applyFill="1" applyProtection="1">
      <protection locked="0"/>
    </xf>
    <xf numFmtId="0" fontId="9" fillId="7" borderId="6" xfId="0" applyFont="1" applyFill="1" applyBorder="1" applyAlignment="1" applyProtection="1">
      <alignment horizontal="center" vertical="center" wrapText="1"/>
      <protection locked="0"/>
    </xf>
    <xf numFmtId="0" fontId="9" fillId="7" borderId="0" xfId="0" applyFont="1" applyFill="1" applyAlignment="1" applyProtection="1">
      <alignment horizontal="center" vertical="center" wrapText="1"/>
      <protection locked="0"/>
    </xf>
    <xf numFmtId="174" fontId="0" fillId="0" borderId="0" xfId="0" applyNumberFormat="1" applyProtection="1">
      <protection locked="0"/>
    </xf>
    <xf numFmtId="0" fontId="2" fillId="0" borderId="5" xfId="0" applyFont="1" applyBorder="1" applyProtection="1">
      <protection locked="0"/>
    </xf>
    <xf numFmtId="3" fontId="2" fillId="0" borderId="5" xfId="0" applyNumberFormat="1" applyFont="1" applyBorder="1" applyProtection="1">
      <protection locked="0"/>
    </xf>
    <xf numFmtId="174" fontId="2" fillId="0" borderId="5" xfId="0" applyNumberFormat="1" applyFont="1" applyBorder="1" applyProtection="1">
      <protection locked="0"/>
    </xf>
    <xf numFmtId="0" fontId="11"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4" fillId="0" borderId="0" xfId="0" applyFont="1" applyAlignment="1" applyProtection="1">
      <alignment horizontal="right"/>
      <protection locked="0"/>
    </xf>
    <xf numFmtId="168" fontId="15" fillId="0" borderId="0" xfId="0" applyNumberFormat="1" applyFont="1" applyAlignment="1" applyProtection="1">
      <alignment horizontal="center"/>
      <protection locked="0"/>
    </xf>
    <xf numFmtId="166" fontId="14" fillId="0" borderId="0" xfId="0" applyNumberFormat="1" applyFont="1" applyProtection="1">
      <protection locked="0"/>
    </xf>
    <xf numFmtId="0" fontId="14" fillId="5" borderId="0" xfId="0" applyFont="1" applyFill="1" applyAlignment="1" applyProtection="1">
      <alignment wrapText="1"/>
      <protection locked="0"/>
    </xf>
    <xf numFmtId="14" fontId="14" fillId="5" borderId="0" xfId="0" applyNumberFormat="1" applyFont="1" applyFill="1" applyAlignment="1" applyProtection="1">
      <alignment horizontal="right" wrapText="1"/>
      <protection locked="0"/>
    </xf>
    <xf numFmtId="0" fontId="14" fillId="5" borderId="0" xfId="0" applyFont="1" applyFill="1" applyAlignment="1" applyProtection="1">
      <alignment horizontal="right" wrapText="1"/>
      <protection locked="0"/>
    </xf>
    <xf numFmtId="0" fontId="2" fillId="5" borderId="0" xfId="0" applyFont="1" applyFill="1" applyAlignment="1" applyProtection="1">
      <alignment horizontal="right" wrapText="1"/>
      <protection locked="0"/>
    </xf>
    <xf numFmtId="0" fontId="2" fillId="5" borderId="0" xfId="0" applyFont="1" applyFill="1" applyAlignment="1" applyProtection="1">
      <alignment horizontal="left" wrapText="1"/>
      <protection locked="0"/>
    </xf>
    <xf numFmtId="43" fontId="2" fillId="5" borderId="0" xfId="1" applyFont="1" applyFill="1" applyAlignment="1" applyProtection="1">
      <alignment horizontal="right" wrapText="1"/>
      <protection locked="0"/>
    </xf>
    <xf numFmtId="0" fontId="13" fillId="0" borderId="0" xfId="0" applyFont="1" applyProtection="1">
      <protection locked="0"/>
    </xf>
    <xf numFmtId="14" fontId="13" fillId="0" borderId="0" xfId="0" applyNumberFormat="1" applyFont="1" applyProtection="1">
      <protection locked="0"/>
    </xf>
    <xf numFmtId="3" fontId="13" fillId="0" borderId="0" xfId="0" applyNumberFormat="1" applyFont="1" applyProtection="1">
      <protection locked="0"/>
    </xf>
    <xf numFmtId="169" fontId="13" fillId="0" borderId="0" xfId="0" applyNumberFormat="1" applyFont="1" applyProtection="1">
      <protection locked="0"/>
    </xf>
    <xf numFmtId="168" fontId="13" fillId="0" borderId="0" xfId="0" applyNumberFormat="1" applyFont="1" applyProtection="1">
      <protection locked="0"/>
    </xf>
    <xf numFmtId="166" fontId="13" fillId="0" borderId="0" xfId="0" applyNumberFormat="1" applyFont="1" applyProtection="1">
      <protection locked="0"/>
    </xf>
    <xf numFmtId="166" fontId="0" fillId="0" borderId="0" xfId="1" applyNumberFormat="1" applyFont="1" applyProtection="1">
      <protection locked="0"/>
    </xf>
    <xf numFmtId="0" fontId="20" fillId="0" borderId="0" xfId="0" applyFont="1" applyProtection="1">
      <protection locked="0"/>
    </xf>
    <xf numFmtId="43" fontId="20" fillId="0" borderId="0" xfId="1" applyFont="1" applyProtection="1">
      <protection locked="0"/>
    </xf>
    <xf numFmtId="14" fontId="2" fillId="0" borderId="0" xfId="0" applyNumberFormat="1" applyFont="1" applyProtection="1">
      <protection locked="0"/>
    </xf>
    <xf numFmtId="0" fontId="8" fillId="0" borderId="0" xfId="0" applyFont="1" applyProtection="1">
      <protection locked="0"/>
    </xf>
    <xf numFmtId="0" fontId="2" fillId="5" borderId="7" xfId="0" applyFont="1" applyFill="1" applyBorder="1" applyAlignment="1" applyProtection="1">
      <alignment horizontal="right" wrapText="1"/>
      <protection locked="0"/>
    </xf>
    <xf numFmtId="0" fontId="2" fillId="5" borderId="7" xfId="0" applyFont="1" applyFill="1" applyBorder="1" applyAlignment="1" applyProtection="1">
      <alignment horizontal="center"/>
      <protection locked="0"/>
    </xf>
    <xf numFmtId="0" fontId="2" fillId="5" borderId="7" xfId="0" applyFont="1" applyFill="1" applyBorder="1" applyAlignment="1" applyProtection="1">
      <alignment horizontal="left"/>
      <protection locked="0"/>
    </xf>
    <xf numFmtId="0" fontId="9" fillId="7" borderId="0" xfId="0" applyFont="1" applyFill="1" applyAlignment="1" applyProtection="1">
      <alignment horizontal="left"/>
      <protection locked="0"/>
    </xf>
    <xf numFmtId="14" fontId="2" fillId="5" borderId="1" xfId="0" applyNumberFormat="1" applyFont="1" applyFill="1" applyBorder="1" applyProtection="1">
      <protection locked="0"/>
    </xf>
    <xf numFmtId="0" fontId="0" fillId="0" borderId="1" xfId="0" applyBorder="1" applyProtection="1">
      <protection locked="0"/>
    </xf>
    <xf numFmtId="167" fontId="0" fillId="0" borderId="1" xfId="0" applyNumberFormat="1" applyBorder="1" applyProtection="1">
      <protection locked="0"/>
    </xf>
    <xf numFmtId="14" fontId="0" fillId="0" borderId="1" xfId="0" applyNumberFormat="1" applyBorder="1" applyProtection="1">
      <protection locked="0"/>
    </xf>
    <xf numFmtId="0" fontId="9" fillId="8" borderId="0" xfId="0" applyFont="1" applyFill="1" applyAlignment="1" applyProtection="1">
      <alignment horizontal="left"/>
      <protection locked="0"/>
    </xf>
    <xf numFmtId="14" fontId="2" fillId="6" borderId="1" xfId="0" applyNumberFormat="1" applyFont="1" applyFill="1" applyBorder="1" applyProtection="1">
      <protection locked="0"/>
    </xf>
    <xf numFmtId="0" fontId="4" fillId="0" borderId="0" xfId="0" applyFont="1" applyProtection="1">
      <protection locked="0"/>
    </xf>
    <xf numFmtId="0" fontId="5" fillId="0" borderId="0" xfId="0" applyFont="1" applyAlignment="1" applyProtection="1">
      <alignment wrapText="1"/>
      <protection locked="0"/>
    </xf>
    <xf numFmtId="0" fontId="2" fillId="5" borderId="3" xfId="0" applyFont="1" applyFill="1" applyBorder="1" applyAlignment="1" applyProtection="1">
      <alignment horizontal="left"/>
      <protection locked="0"/>
    </xf>
    <xf numFmtId="0" fontId="2" fillId="5" borderId="3" xfId="0" applyFont="1" applyFill="1" applyBorder="1" applyAlignment="1" applyProtection="1">
      <alignment horizontal="right"/>
      <protection locked="0"/>
    </xf>
    <xf numFmtId="0" fontId="18" fillId="0" borderId="0" xfId="0" applyFont="1" applyProtection="1">
      <protection locked="0"/>
    </xf>
    <xf numFmtId="0" fontId="5" fillId="0" borderId="0" xfId="0" applyFont="1" applyProtection="1">
      <protection locked="0"/>
    </xf>
    <xf numFmtId="0" fontId="2" fillId="5" borderId="1" xfId="0" applyFont="1" applyFill="1" applyBorder="1" applyAlignment="1" applyProtection="1">
      <alignment vertical="top" wrapText="1"/>
      <protection locked="0"/>
    </xf>
    <xf numFmtId="0" fontId="2" fillId="5" borderId="1" xfId="0" applyFont="1" applyFill="1" applyBorder="1" applyAlignment="1" applyProtection="1">
      <alignment vertical="top" wrapText="1"/>
      <protection locked="0"/>
    </xf>
    <xf numFmtId="0" fontId="0" fillId="0" borderId="1" xfId="0" applyBorder="1" applyAlignment="1" applyProtection="1">
      <alignment vertical="top" wrapText="1"/>
      <protection locked="0"/>
    </xf>
    <xf numFmtId="0" fontId="0" fillId="0" borderId="1" xfId="0" applyBorder="1" applyAlignment="1" applyProtection="1">
      <alignment vertical="top" wrapText="1"/>
      <protection locked="0"/>
    </xf>
    <xf numFmtId="0" fontId="0" fillId="0" borderId="4" xfId="0" applyBorder="1" applyAlignment="1" applyProtection="1">
      <alignment vertical="top" wrapText="1"/>
      <protection locked="0"/>
    </xf>
    <xf numFmtId="0" fontId="0" fillId="0" borderId="4" xfId="0" applyBorder="1" applyAlignment="1" applyProtection="1">
      <alignment vertical="top" wrapText="1"/>
      <protection locked="0"/>
    </xf>
    <xf numFmtId="0" fontId="19" fillId="0" borderId="4" xfId="0" applyFont="1" applyBorder="1" applyAlignment="1" applyProtection="1">
      <alignment vertical="top" wrapText="1"/>
      <protection locked="0"/>
    </xf>
    <xf numFmtId="0" fontId="19" fillId="0" borderId="4" xfId="0" applyFont="1" applyBorder="1" applyAlignment="1" applyProtection="1">
      <alignment vertical="top" wrapText="1"/>
      <protection locked="0"/>
    </xf>
    <xf numFmtId="0" fontId="19" fillId="0" borderId="1" xfId="0" applyFont="1" applyBorder="1" applyAlignment="1" applyProtection="1">
      <alignment vertical="top" wrapText="1"/>
      <protection locked="0"/>
    </xf>
    <xf numFmtId="0" fontId="19" fillId="0" borderId="1" xfId="0" applyFont="1" applyBorder="1" applyAlignment="1" applyProtection="1">
      <alignment vertical="top" wrapText="1"/>
      <protection locked="0"/>
    </xf>
    <xf numFmtId="0" fontId="2" fillId="5" borderId="1" xfId="0" applyFont="1" applyFill="1" applyBorder="1" applyAlignment="1" applyProtection="1">
      <alignment horizontal="right"/>
      <protection locked="0"/>
    </xf>
    <xf numFmtId="0" fontId="18" fillId="5" borderId="0" xfId="0" applyFont="1" applyFill="1" applyAlignment="1" applyProtection="1">
      <alignment horizontal="center"/>
      <protection locked="0"/>
    </xf>
    <xf numFmtId="0" fontId="18" fillId="6" borderId="0" xfId="0" applyFont="1" applyFill="1" applyAlignment="1" applyProtection="1">
      <alignment horizontal="center"/>
      <protection locked="0"/>
    </xf>
    <xf numFmtId="0" fontId="18" fillId="9" borderId="0" xfId="0" applyFont="1" applyFill="1" applyAlignment="1" applyProtection="1">
      <alignment horizontal="center"/>
      <protection locked="0"/>
    </xf>
    <xf numFmtId="0" fontId="2" fillId="10" borderId="0" xfId="0" applyFont="1" applyFill="1" applyProtection="1">
      <protection locked="0"/>
    </xf>
    <xf numFmtId="0" fontId="2" fillId="10" borderId="0" xfId="0" applyFont="1" applyFill="1" applyAlignment="1" applyProtection="1">
      <alignment horizontal="center"/>
      <protection locked="0"/>
    </xf>
    <xf numFmtId="0" fontId="2" fillId="10" borderId="0" xfId="0" applyFont="1" applyFill="1" applyAlignment="1" applyProtection="1">
      <alignment horizontal="right"/>
      <protection locked="0"/>
    </xf>
    <xf numFmtId="0" fontId="16" fillId="0" borderId="10" xfId="2" applyBorder="1" applyAlignment="1" applyProtection="1">
      <alignment horizontal="left" vertical="top"/>
      <protection locked="0"/>
    </xf>
  </cellXfs>
  <cellStyles count="3">
    <cellStyle name="Comma" xfId="1" builtinId="3"/>
    <cellStyle name="Hyperlink" xfId="2" builtinId="8"/>
    <cellStyle name="Normal" xfId="0" builtinId="0"/>
  </cellStyles>
  <dxfs count="12">
    <dxf>
      <font>
        <color rgb="FFE2EFDA"/>
      </font>
    </dxf>
    <dxf>
      <font>
        <color rgb="FFFFFFFF"/>
      </font>
    </dxf>
    <dxf>
      <font>
        <color rgb="FFFFFFFF"/>
      </font>
    </dxf>
    <dxf>
      <font>
        <color rgb="FFFFFFFF"/>
      </font>
    </dxf>
    <dxf>
      <font>
        <color rgb="FFFFFFFF"/>
      </font>
    </dxf>
    <dxf>
      <font>
        <color rgb="FFFFFFFF"/>
      </font>
    </dxf>
    <dxf>
      <font>
        <color rgb="FFFFFFFF"/>
      </font>
    </dxf>
    <dxf>
      <font>
        <color rgb="FFFFFFFF"/>
      </font>
    </dxf>
    <dxf>
      <font>
        <color rgb="FFFFFFFF"/>
      </font>
    </dxf>
    <dxf>
      <font>
        <color rgb="FFFFFFFF"/>
      </font>
    </dxf>
    <dxf>
      <font>
        <color rgb="FFFFFFFF"/>
      </font>
    </dxf>
    <dxf>
      <font>
        <color rgb="FFFFFFFF"/>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59036-4D7C-4D98-874E-7CEBE68C8867}">
  <dimension ref="A1:D46"/>
  <sheetViews>
    <sheetView showGridLines="0" tabSelected="1" workbookViewId="0">
      <pane ySplit="5" topLeftCell="A6" activePane="bottomLeft" state="frozen"/>
      <selection pane="bottomLeft" activeCell="C50" sqref="C50"/>
    </sheetView>
  </sheetViews>
  <sheetFormatPr defaultRowHeight="14.5" x14ac:dyDescent="0.35"/>
  <cols>
    <col min="1" max="1" width="7.26953125" style="25" customWidth="1"/>
    <col min="2" max="2" width="34.54296875" style="25" customWidth="1"/>
    <col min="3" max="3" width="94.54296875" style="25" customWidth="1"/>
    <col min="4" max="4" width="12.7265625" style="25" customWidth="1"/>
    <col min="5" max="16384" width="8.7265625" style="25"/>
  </cols>
  <sheetData>
    <row r="1" spans="1:4" ht="20" x14ac:dyDescent="0.35">
      <c r="A1" s="53" t="s">
        <v>172</v>
      </c>
      <c r="B1" s="54"/>
      <c r="C1" s="54"/>
      <c r="D1" s="54"/>
    </row>
    <row r="2" spans="1:4" x14ac:dyDescent="0.35">
      <c r="A2" s="55" t="s">
        <v>173</v>
      </c>
      <c r="B2" s="54"/>
      <c r="C2" s="54"/>
      <c r="D2" s="54"/>
    </row>
    <row r="3" spans="1:4" x14ac:dyDescent="0.35">
      <c r="A3" s="55" t="s">
        <v>174</v>
      </c>
      <c r="B3" s="54"/>
      <c r="C3" s="54"/>
      <c r="D3" s="54"/>
    </row>
    <row r="4" spans="1:4" ht="30" customHeight="1" x14ac:dyDescent="0.35">
      <c r="A4" s="56" t="s">
        <v>228</v>
      </c>
      <c r="B4" s="56"/>
      <c r="C4" s="56"/>
      <c r="D4" s="56"/>
    </row>
    <row r="5" spans="1:4" x14ac:dyDescent="0.35">
      <c r="A5" s="57" t="s">
        <v>175</v>
      </c>
      <c r="B5" s="57" t="s">
        <v>176</v>
      </c>
      <c r="C5" s="57" t="s">
        <v>177</v>
      </c>
      <c r="D5" s="57" t="s">
        <v>178</v>
      </c>
    </row>
    <row r="6" spans="1:4" x14ac:dyDescent="0.35">
      <c r="A6" s="58" t="s">
        <v>179</v>
      </c>
      <c r="B6" s="59"/>
      <c r="C6" s="60"/>
      <c r="D6" s="59"/>
    </row>
    <row r="7" spans="1:4" ht="25" x14ac:dyDescent="0.35">
      <c r="A7" s="61">
        <v>1</v>
      </c>
      <c r="B7" s="62" t="s">
        <v>180</v>
      </c>
      <c r="C7" s="63" t="s">
        <v>181</v>
      </c>
      <c r="D7" s="64" t="s">
        <v>182</v>
      </c>
    </row>
    <row r="8" spans="1:4" ht="37.5" x14ac:dyDescent="0.35">
      <c r="A8" s="61">
        <v>2</v>
      </c>
      <c r="B8" s="62" t="s">
        <v>183</v>
      </c>
      <c r="C8" s="63" t="s">
        <v>184</v>
      </c>
      <c r="D8" s="64" t="s">
        <v>182</v>
      </c>
    </row>
    <row r="9" spans="1:4" x14ac:dyDescent="0.35">
      <c r="A9" s="58" t="s">
        <v>185</v>
      </c>
      <c r="B9" s="59"/>
      <c r="C9" s="60"/>
      <c r="D9" s="65"/>
    </row>
    <row r="10" spans="1:4" ht="50" x14ac:dyDescent="0.35">
      <c r="A10" s="61">
        <v>3</v>
      </c>
      <c r="B10" s="62" t="s">
        <v>150</v>
      </c>
      <c r="C10" s="63" t="s">
        <v>186</v>
      </c>
      <c r="D10" s="64" t="s">
        <v>182</v>
      </c>
    </row>
    <row r="11" spans="1:4" ht="25" x14ac:dyDescent="0.35">
      <c r="A11" s="61">
        <v>4</v>
      </c>
      <c r="B11" s="62" t="s">
        <v>151</v>
      </c>
      <c r="C11" s="63" t="s">
        <v>187</v>
      </c>
      <c r="D11" s="64" t="s">
        <v>182</v>
      </c>
    </row>
    <row r="12" spans="1:4" ht="37.5" x14ac:dyDescent="0.35">
      <c r="A12" s="61">
        <v>5</v>
      </c>
      <c r="B12" s="62" t="s">
        <v>152</v>
      </c>
      <c r="C12" s="63" t="s">
        <v>188</v>
      </c>
      <c r="D12" s="64" t="s">
        <v>182</v>
      </c>
    </row>
    <row r="13" spans="1:4" ht="37.5" x14ac:dyDescent="0.35">
      <c r="A13" s="61">
        <v>6</v>
      </c>
      <c r="B13" s="62" t="s">
        <v>189</v>
      </c>
      <c r="C13" s="63" t="s">
        <v>217</v>
      </c>
      <c r="D13" s="64" t="s">
        <v>182</v>
      </c>
    </row>
    <row r="14" spans="1:4" ht="26" x14ac:dyDescent="0.35">
      <c r="A14" s="66"/>
      <c r="B14" s="67" t="s">
        <v>190</v>
      </c>
      <c r="C14" s="68" t="s">
        <v>191</v>
      </c>
      <c r="D14" s="69"/>
    </row>
    <row r="15" spans="1:4" x14ac:dyDescent="0.35">
      <c r="A15" s="58" t="s">
        <v>192</v>
      </c>
      <c r="B15" s="59"/>
      <c r="C15" s="60"/>
      <c r="D15" s="65"/>
    </row>
    <row r="16" spans="1:4" ht="25" x14ac:dyDescent="0.35">
      <c r="A16" s="61">
        <v>7</v>
      </c>
      <c r="B16" s="62" t="s">
        <v>193</v>
      </c>
      <c r="C16" s="63" t="s">
        <v>194</v>
      </c>
      <c r="D16" s="64" t="s">
        <v>182</v>
      </c>
    </row>
    <row r="17" spans="1:4" ht="112.5" x14ac:dyDescent="0.35">
      <c r="A17" s="61">
        <v>8</v>
      </c>
      <c r="B17" s="62" t="s">
        <v>195</v>
      </c>
      <c r="C17" s="63" t="s">
        <v>218</v>
      </c>
      <c r="D17" s="64" t="s">
        <v>182</v>
      </c>
    </row>
    <row r="18" spans="1:4" ht="50" x14ac:dyDescent="0.35">
      <c r="A18" s="61">
        <v>9</v>
      </c>
      <c r="B18" s="62" t="s">
        <v>196</v>
      </c>
      <c r="C18" s="63" t="s">
        <v>197</v>
      </c>
      <c r="D18" s="171" t="s">
        <v>182</v>
      </c>
    </row>
    <row r="19" spans="1:4" x14ac:dyDescent="0.35">
      <c r="A19" s="58" t="s">
        <v>198</v>
      </c>
      <c r="B19" s="59"/>
      <c r="C19" s="60"/>
      <c r="D19" s="65"/>
    </row>
    <row r="20" spans="1:4" ht="50" x14ac:dyDescent="0.35">
      <c r="A20" s="61">
        <v>10</v>
      </c>
      <c r="B20" s="62" t="s">
        <v>199</v>
      </c>
      <c r="C20" s="63" t="s">
        <v>219</v>
      </c>
      <c r="D20" s="64" t="s">
        <v>182</v>
      </c>
    </row>
    <row r="21" spans="1:4" ht="37.5" x14ac:dyDescent="0.35">
      <c r="A21" s="61">
        <v>11</v>
      </c>
      <c r="B21" s="62" t="s">
        <v>200</v>
      </c>
      <c r="C21" s="63" t="s">
        <v>201</v>
      </c>
      <c r="D21" s="64" t="s">
        <v>182</v>
      </c>
    </row>
    <row r="22" spans="1:4" ht="25" x14ac:dyDescent="0.35">
      <c r="A22" s="61">
        <v>12</v>
      </c>
      <c r="B22" s="62" t="s">
        <v>202</v>
      </c>
      <c r="C22" s="63" t="s">
        <v>203</v>
      </c>
      <c r="D22" s="64" t="s">
        <v>182</v>
      </c>
    </row>
    <row r="23" spans="1:4" ht="37.5" x14ac:dyDescent="0.35">
      <c r="A23" s="61">
        <v>13</v>
      </c>
      <c r="B23" s="62" t="s">
        <v>204</v>
      </c>
      <c r="C23" s="63" t="s">
        <v>220</v>
      </c>
      <c r="D23" s="64" t="s">
        <v>182</v>
      </c>
    </row>
    <row r="24" spans="1:4" x14ac:dyDescent="0.35">
      <c r="A24" s="58" t="s">
        <v>205</v>
      </c>
      <c r="B24" s="59"/>
      <c r="C24" s="60"/>
      <c r="D24" s="59"/>
    </row>
    <row r="25" spans="1:4" ht="25" x14ac:dyDescent="0.35">
      <c r="A25" s="61" t="s">
        <v>206</v>
      </c>
      <c r="B25" s="62" t="s">
        <v>207</v>
      </c>
      <c r="C25" s="63" t="s">
        <v>208</v>
      </c>
      <c r="D25" s="70"/>
    </row>
    <row r="26" spans="1:4" x14ac:dyDescent="0.35">
      <c r="A26" s="61" t="s">
        <v>206</v>
      </c>
      <c r="B26" s="62" t="s">
        <v>209</v>
      </c>
      <c r="C26" s="63" t="s">
        <v>210</v>
      </c>
      <c r="D26" s="70"/>
    </row>
    <row r="27" spans="1:4" ht="37.5" x14ac:dyDescent="0.35">
      <c r="A27" s="61" t="s">
        <v>206</v>
      </c>
      <c r="B27" s="62" t="s">
        <v>211</v>
      </c>
      <c r="C27" s="63" t="s">
        <v>248</v>
      </c>
      <c r="D27" s="70"/>
    </row>
    <row r="28" spans="1:4" ht="25" x14ac:dyDescent="0.35">
      <c r="A28" s="61" t="s">
        <v>206</v>
      </c>
      <c r="B28" s="62" t="s">
        <v>122</v>
      </c>
      <c r="C28" s="63" t="s">
        <v>212</v>
      </c>
      <c r="D28" s="70"/>
    </row>
    <row r="29" spans="1:4" ht="25" x14ac:dyDescent="0.35">
      <c r="A29" s="61" t="s">
        <v>206</v>
      </c>
      <c r="B29" s="62" t="s">
        <v>213</v>
      </c>
      <c r="C29" s="63" t="s">
        <v>214</v>
      </c>
      <c r="D29" s="70"/>
    </row>
    <row r="30" spans="1:4" x14ac:dyDescent="0.35">
      <c r="A30" s="61" t="s">
        <v>206</v>
      </c>
      <c r="B30" s="62" t="s">
        <v>215</v>
      </c>
      <c r="C30" s="63" t="s">
        <v>216</v>
      </c>
      <c r="D30" s="70"/>
    </row>
    <row r="31" spans="1:4" x14ac:dyDescent="0.35">
      <c r="A31" s="54"/>
      <c r="B31" s="54"/>
      <c r="C31" s="54"/>
      <c r="D31" s="54"/>
    </row>
    <row r="32" spans="1:4" ht="45" customHeight="1" x14ac:dyDescent="0.35">
      <c r="A32" s="71" t="s">
        <v>227</v>
      </c>
      <c r="B32" s="71"/>
      <c r="C32" s="71"/>
      <c r="D32" s="71"/>
    </row>
    <row r="33" spans="1:4" ht="102" customHeight="1" x14ac:dyDescent="0.35">
      <c r="A33" s="72" t="s">
        <v>224</v>
      </c>
      <c r="B33" s="72"/>
      <c r="C33" s="72"/>
      <c r="D33" s="72"/>
    </row>
    <row r="35" spans="1:4" x14ac:dyDescent="0.35">
      <c r="A35" s="73" t="s">
        <v>230</v>
      </c>
      <c r="B35" s="73"/>
      <c r="C35" s="73"/>
      <c r="D35" s="73"/>
    </row>
    <row r="36" spans="1:4" ht="16" customHeight="1" x14ac:dyDescent="0.35">
      <c r="A36" s="74" t="s">
        <v>206</v>
      </c>
      <c r="B36" s="75" t="s">
        <v>231</v>
      </c>
      <c r="C36" s="76" t="s">
        <v>232</v>
      </c>
      <c r="D36" s="76"/>
    </row>
    <row r="37" spans="1:4" ht="29" customHeight="1" x14ac:dyDescent="0.35">
      <c r="A37" s="74" t="s">
        <v>206</v>
      </c>
      <c r="B37" s="75" t="s">
        <v>233</v>
      </c>
      <c r="C37" s="76" t="s">
        <v>247</v>
      </c>
      <c r="D37" s="76"/>
    </row>
    <row r="38" spans="1:4" ht="29" customHeight="1" x14ac:dyDescent="0.35">
      <c r="A38" s="74" t="s">
        <v>206</v>
      </c>
      <c r="B38" s="75" t="s">
        <v>234</v>
      </c>
      <c r="C38" s="76" t="s">
        <v>246</v>
      </c>
      <c r="D38" s="76"/>
    </row>
    <row r="39" spans="1:4" ht="42" customHeight="1" x14ac:dyDescent="0.35">
      <c r="A39" s="74" t="s">
        <v>206</v>
      </c>
      <c r="B39" s="75" t="s">
        <v>235</v>
      </c>
      <c r="C39" s="76" t="s">
        <v>252</v>
      </c>
      <c r="D39" s="76"/>
    </row>
    <row r="40" spans="1:4" ht="29" customHeight="1" x14ac:dyDescent="0.35">
      <c r="A40" s="74" t="s">
        <v>206</v>
      </c>
      <c r="B40" s="75" t="s">
        <v>236</v>
      </c>
      <c r="C40" s="76" t="s">
        <v>237</v>
      </c>
      <c r="D40" s="76"/>
    </row>
    <row r="41" spans="1:4" ht="55" customHeight="1" x14ac:dyDescent="0.35">
      <c r="A41" s="74" t="s">
        <v>206</v>
      </c>
      <c r="B41" s="75" t="s">
        <v>238</v>
      </c>
      <c r="C41" s="76" t="s">
        <v>239</v>
      </c>
      <c r="D41" s="76"/>
    </row>
    <row r="42" spans="1:4" ht="42" customHeight="1" x14ac:dyDescent="0.35">
      <c r="A42" s="74" t="s">
        <v>206</v>
      </c>
      <c r="B42" s="75" t="s">
        <v>240</v>
      </c>
      <c r="C42" s="76" t="s">
        <v>241</v>
      </c>
      <c r="D42" s="76"/>
    </row>
    <row r="43" spans="1:4" ht="29" customHeight="1" x14ac:dyDescent="0.35">
      <c r="A43" s="74" t="s">
        <v>206</v>
      </c>
      <c r="B43" s="75" t="s">
        <v>242</v>
      </c>
      <c r="C43" s="76" t="s">
        <v>243</v>
      </c>
      <c r="D43" s="76"/>
    </row>
    <row r="44" spans="1:4" ht="28" customHeight="1" x14ac:dyDescent="0.35">
      <c r="A44" s="77" t="s">
        <v>206</v>
      </c>
      <c r="B44" s="78" t="s">
        <v>244</v>
      </c>
      <c r="C44" s="79" t="s">
        <v>245</v>
      </c>
      <c r="D44" s="79"/>
    </row>
    <row r="45" spans="1:4" ht="28" customHeight="1" x14ac:dyDescent="0.35">
      <c r="A45" s="77" t="s">
        <v>206</v>
      </c>
      <c r="B45" s="78" t="s">
        <v>249</v>
      </c>
      <c r="C45" s="79" t="s">
        <v>253</v>
      </c>
      <c r="D45" s="79"/>
    </row>
    <row r="46" spans="1:4" ht="42" customHeight="1" x14ac:dyDescent="0.35">
      <c r="A46" s="77" t="s">
        <v>206</v>
      </c>
      <c r="B46" s="78" t="s">
        <v>250</v>
      </c>
      <c r="C46" s="79" t="s">
        <v>251</v>
      </c>
      <c r="D46" s="79"/>
    </row>
  </sheetData>
  <sheetProtection formatCells="0" formatColumns="0" formatRows="0" insertRows="0" deleteRows="0" sort="0" autoFilter="0"/>
  <mergeCells count="14">
    <mergeCell ref="C45:D45"/>
    <mergeCell ref="C46:D46"/>
    <mergeCell ref="C39:D39"/>
    <mergeCell ref="C40:D40"/>
    <mergeCell ref="C41:D41"/>
    <mergeCell ref="C42:D42"/>
    <mergeCell ref="C43:D43"/>
    <mergeCell ref="C44:D44"/>
    <mergeCell ref="A33:D33"/>
    <mergeCell ref="A32:D32"/>
    <mergeCell ref="A4:D4"/>
    <mergeCell ref="C36:D36"/>
    <mergeCell ref="C37:D37"/>
    <mergeCell ref="C38:D38"/>
  </mergeCells>
  <hyperlinks>
    <hyperlink ref="D7" location="'CGT Summary'!B3" tooltip="Go to 'CGT Summary'!B3" display="Go to →" xr:uid="{38907F3A-6D46-4C1B-ABD2-A54C6A10AA9E}"/>
    <hyperlink ref="D8" location="'CGT Summary'!F5" tooltip="Go to 'CGT Summary'!F5" display="Go to →" xr:uid="{8F6AF7F6-710F-4BF1-80CA-42D15110EC4D}"/>
    <hyperlink ref="D10" location="'Account 1 (CommSec)'!A2" tooltip="Go to 'Account 1 (CommSec)'!A2" display="Go to →" xr:uid="{0A5F454F-7E1D-4E8D-BE22-5925F9E3AC3B}"/>
    <hyperlink ref="D11" location="'Account 2 (CommSec Pocket)'!A2" tooltip="Go to 'Account 2 (CommSec Pocket)'!A2" display="Go to →" xr:uid="{2BFD0E08-86EE-4C60-87EF-5FCC955A5061}"/>
    <hyperlink ref="D12" location="'Account 3 (CMC)'!A2" tooltip="Go to 'Account 3 (CMC)'!A2" display="Go to →" xr:uid="{B193531B-067E-41E4-888F-61FAD29F3C52}"/>
    <hyperlink ref="D13" location="'Transaction History'!A1" tooltip="Go to 'Transaction History'!A1" display="Go to →" xr:uid="{027E646C-A28F-4613-B7A2-E664072AAB0A}"/>
    <hyperlink ref="D16" location="Considerations!A1" tooltip="Go to Considerations!A1" display="Go to →" xr:uid="{D297ABD9-E94B-416B-A859-3FC17C3D625B}"/>
    <hyperlink ref="D17" location="'Cost Base Adjustments'!A5" tooltip="Go to 'Cost Base Adjustments'!A5" display="Go to →" xr:uid="{8BDA7531-ED7E-473B-8228-DA6F7C0DD107}"/>
    <hyperlink ref="D18" location="'Trust Distributions'!A7" tooltip="Go to 'Trust Distributions'!A7" display="Go to →" xr:uid="{9D6AF3F7-959D-4ED8-BE13-0AAE28FEFD7F}"/>
    <hyperlink ref="D20" location="'CGT Summary'!A7" tooltip="Go to 'CGT Summary'!A7" display="Go to →" xr:uid="{A46C707E-72F6-4B26-9DC8-2A5E627E08D4}"/>
    <hyperlink ref="D21" location="'CGT Detail'!A1" tooltip="Go to 'CGT Detail'!A1" display="Go to →" xr:uid="{853D8A9A-03D9-4FFF-A65F-652E7798142A}"/>
    <hyperlink ref="D22" location="'Holdings 30 Jun'!A1" tooltip="Go to 'Holdings 30 Jun'!A1" display="Go to →" xr:uid="{228FB427-1277-45B3-A0C3-116A516DBD76}"/>
    <hyperlink ref="D23" location="'CGT Summary'!A16" tooltip="Go to 'CGT Summary'!A16" display="Go to →" xr:uid="{CAD603D8-D6BB-45C8-BB3C-8DD5A5B02CB5}"/>
  </hyperlinks>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375C2-E505-4E41-A3B2-8A8970A0F3ED}">
  <dimension ref="A1:H247"/>
  <sheetViews>
    <sheetView workbookViewId="0">
      <pane ySplit="1" topLeftCell="A2" activePane="bottomLeft" state="frozen"/>
      <selection pane="bottomLeft" activeCell="L13" sqref="L13"/>
    </sheetView>
  </sheetViews>
  <sheetFormatPr defaultRowHeight="14.5" x14ac:dyDescent="0.35"/>
  <cols>
    <col min="1" max="1" width="21.08984375" style="25" customWidth="1"/>
    <col min="2" max="2" width="10.08984375" style="25" bestFit="1" customWidth="1"/>
    <col min="3" max="3" width="8.08984375" style="25" customWidth="1"/>
    <col min="4" max="5" width="8.7265625" style="25"/>
    <col min="6" max="6" width="11.26953125" style="25" bestFit="1" customWidth="1"/>
    <col min="7" max="7" width="12.453125" style="25" bestFit="1" customWidth="1"/>
    <col min="8" max="8" width="11.81640625" style="25" bestFit="1" customWidth="1"/>
    <col min="9" max="16384" width="8.7265625" style="25"/>
  </cols>
  <sheetData>
    <row r="1" spans="1:8" s="51" customFormat="1" x14ac:dyDescent="0.35">
      <c r="A1" s="51" t="s">
        <v>153</v>
      </c>
      <c r="B1" s="51" t="s">
        <v>3</v>
      </c>
      <c r="C1" s="51" t="s">
        <v>12</v>
      </c>
      <c r="D1" s="51" t="s">
        <v>13</v>
      </c>
      <c r="E1" s="51" t="s">
        <v>8</v>
      </c>
      <c r="F1" s="51" t="s">
        <v>9</v>
      </c>
      <c r="G1" s="51" t="s">
        <v>15</v>
      </c>
      <c r="H1" s="51" t="s">
        <v>14</v>
      </c>
    </row>
    <row r="2" spans="1:8" x14ac:dyDescent="0.35">
      <c r="A2" s="1" t="e" cm="1">
        <f t="array" ref="A2">_xlfn.LET(_xlpm.all,_xlfn.VSTACK(_xlfn.HSTACK(IF(_xlfn.SEQUENCE(ROWS(_xlfn.ANCHORARRAY('Account 1 (CommSec)'!I2))),"Account 1 (CommSec)"),_xlfn.ANCHORARRAY('Account 1 (CommSec)'!I2),_xlfn.ANCHORARRAY('Account 1 (CommSec)'!J2),_xlfn.ANCHORARRAY('Account 1 (CommSec)'!K2),_xlfn.ANCHORARRAY('Account 1 (CommSec)'!L2),_xlfn.ANCHORARRAY('Account 1 (CommSec)'!M2),_xlfn.ANCHORARRAY('Account 1 (CommSec)'!N2),_xlfn.ANCHORARRAY('Account 1 (CommSec)'!O2)),_xlfn.HSTACK(IF(_xlfn.SEQUENCE(ROWS(_xlfn.ANCHORARRAY('Account 2 (CommSec Pocket)'!I2))),"Account 2 (CommSec Pocket)"),_xlfn.ANCHORARRAY('Account 2 (CommSec Pocket)'!I2),_xlfn.ANCHORARRAY('Account 2 (CommSec Pocket)'!J2),_xlfn.ANCHORARRAY('Account 2 (CommSec Pocket)'!K2),_xlfn.ANCHORARRAY('Account 2 (CommSec Pocket)'!L2),_xlfn.ANCHORARRAY('Account 2 (CommSec Pocket)'!M2),_xlfn.ANCHORARRAY('Account 2 (CommSec Pocket)'!N2),_xlfn.ANCHORARRAY('Account 2 (CommSec Pocket)'!O2)),_xlfn.HSTACK(IF(_xlfn.SEQUENCE(ROWS(_xlfn.ANCHORARRAY('Account 3 (CMC)'!J2))),"Account 3 (CMC)"),_xlfn.ANCHORARRAY('Account 3 (CMC)'!J2),_xlfn.ANCHORARRAY('Account 3 (CMC)'!K2),_xlfn.ANCHORARRAY('Account 3 (CMC)'!L2),_xlfn.ANCHORARRAY('Account 3 (CMC)'!M2),_xlfn.ANCHORARRAY('Account 3 (CMC)'!N2),_xlfn.ANCHORARRAY('Account 3 (CMC)'!O2),_xlfn.ANCHORARRAY('Account 3 (CMC)'!P2))),_xlpm.keep,_xlfn._xlws.FILTER(_xlpm.all,NOT(ISERROR(_xlfn.CHOOSECOLS(_xlpm.all,2))),""),_xlfn._xlws.SORT(_xlpm.keep,{1,2},{1,1}))</f>
        <v>#VALUE!</v>
      </c>
      <c r="B2" s="80"/>
      <c r="C2" s="81"/>
      <c r="D2" s="81"/>
      <c r="E2" s="82"/>
      <c r="F2" s="83"/>
      <c r="G2" s="84"/>
      <c r="H2" s="84"/>
    </row>
    <row r="3" spans="1:8" x14ac:dyDescent="0.35">
      <c r="B3" s="80"/>
      <c r="C3" s="81"/>
      <c r="D3" s="81"/>
      <c r="E3" s="82"/>
      <c r="F3" s="83"/>
      <c r="G3" s="84"/>
      <c r="H3" s="84"/>
    </row>
    <row r="4" spans="1:8" x14ac:dyDescent="0.35">
      <c r="B4" s="80"/>
      <c r="C4" s="81"/>
      <c r="D4" s="81"/>
      <c r="E4" s="82"/>
      <c r="F4" s="83"/>
      <c r="G4" s="84"/>
      <c r="H4" s="84"/>
    </row>
    <row r="5" spans="1:8" x14ac:dyDescent="0.35">
      <c r="B5" s="80"/>
      <c r="C5" s="81"/>
      <c r="D5" s="81"/>
      <c r="E5" s="82"/>
      <c r="F5" s="83"/>
      <c r="G5" s="84"/>
      <c r="H5" s="84"/>
    </row>
    <row r="6" spans="1:8" x14ac:dyDescent="0.35">
      <c r="B6" s="80"/>
      <c r="C6" s="81"/>
      <c r="D6" s="81"/>
      <c r="E6" s="82"/>
      <c r="F6" s="83"/>
      <c r="G6" s="84"/>
      <c r="H6" s="84"/>
    </row>
    <row r="7" spans="1:8" x14ac:dyDescent="0.35">
      <c r="B7" s="80"/>
      <c r="C7" s="81"/>
      <c r="D7" s="81"/>
      <c r="E7" s="82"/>
      <c r="F7" s="83"/>
      <c r="G7" s="84"/>
      <c r="H7" s="84"/>
    </row>
    <row r="8" spans="1:8" x14ac:dyDescent="0.35">
      <c r="B8" s="80"/>
      <c r="C8" s="81"/>
      <c r="D8" s="81"/>
      <c r="E8" s="82"/>
      <c r="F8" s="83"/>
      <c r="G8" s="84"/>
      <c r="H8" s="84"/>
    </row>
    <row r="9" spans="1:8" x14ac:dyDescent="0.35">
      <c r="B9" s="80"/>
      <c r="C9" s="81"/>
      <c r="D9" s="81"/>
      <c r="E9" s="82"/>
      <c r="F9" s="83"/>
      <c r="G9" s="84"/>
      <c r="H9" s="84"/>
    </row>
    <row r="10" spans="1:8" x14ac:dyDescent="0.35">
      <c r="B10" s="80"/>
      <c r="C10" s="81"/>
      <c r="D10" s="81"/>
      <c r="E10" s="82"/>
      <c r="F10" s="83"/>
      <c r="G10" s="84"/>
      <c r="H10" s="84"/>
    </row>
    <row r="11" spans="1:8" x14ac:dyDescent="0.35">
      <c r="B11" s="80"/>
      <c r="C11" s="81"/>
      <c r="D11" s="81"/>
      <c r="E11" s="82"/>
      <c r="F11" s="83"/>
      <c r="G11" s="84"/>
      <c r="H11" s="84"/>
    </row>
    <row r="12" spans="1:8" x14ac:dyDescent="0.35">
      <c r="B12" s="80"/>
      <c r="C12" s="81"/>
      <c r="D12" s="81"/>
      <c r="E12" s="82"/>
      <c r="F12" s="83"/>
      <c r="G12" s="84"/>
      <c r="H12" s="84"/>
    </row>
    <row r="13" spans="1:8" x14ac:dyDescent="0.35">
      <c r="B13" s="80"/>
      <c r="C13" s="81"/>
      <c r="D13" s="81"/>
      <c r="E13" s="82"/>
      <c r="F13" s="83"/>
      <c r="G13" s="84"/>
      <c r="H13" s="84"/>
    </row>
    <row r="14" spans="1:8" x14ac:dyDescent="0.35">
      <c r="B14" s="80"/>
      <c r="C14" s="81"/>
      <c r="D14" s="81"/>
      <c r="E14" s="82"/>
      <c r="F14" s="83"/>
      <c r="G14" s="84"/>
      <c r="H14" s="84"/>
    </row>
    <row r="15" spans="1:8" x14ac:dyDescent="0.35">
      <c r="B15" s="80"/>
      <c r="C15" s="81"/>
      <c r="D15" s="81"/>
      <c r="E15" s="82"/>
      <c r="F15" s="83"/>
      <c r="G15" s="84"/>
      <c r="H15" s="84"/>
    </row>
    <row r="16" spans="1:8" x14ac:dyDescent="0.35">
      <c r="B16" s="80"/>
      <c r="C16" s="81"/>
      <c r="D16" s="81"/>
      <c r="E16" s="82"/>
      <c r="F16" s="83"/>
      <c r="G16" s="84"/>
      <c r="H16" s="84"/>
    </row>
    <row r="17" spans="2:8" x14ac:dyDescent="0.35">
      <c r="B17" s="80"/>
      <c r="C17" s="81"/>
      <c r="D17" s="81"/>
      <c r="E17" s="82"/>
      <c r="F17" s="83"/>
      <c r="G17" s="84"/>
      <c r="H17" s="84"/>
    </row>
    <row r="18" spans="2:8" x14ac:dyDescent="0.35">
      <c r="B18" s="80"/>
      <c r="C18" s="81"/>
      <c r="D18" s="81"/>
      <c r="E18" s="82"/>
      <c r="F18" s="83"/>
      <c r="G18" s="84"/>
      <c r="H18" s="84"/>
    </row>
    <row r="19" spans="2:8" x14ac:dyDescent="0.35">
      <c r="B19" s="80"/>
      <c r="C19" s="81"/>
      <c r="D19" s="81"/>
      <c r="E19" s="82"/>
      <c r="F19" s="83"/>
      <c r="G19" s="84"/>
      <c r="H19" s="84"/>
    </row>
    <row r="20" spans="2:8" x14ac:dyDescent="0.35">
      <c r="B20" s="80"/>
      <c r="C20" s="81"/>
      <c r="D20" s="81"/>
      <c r="E20" s="82"/>
      <c r="F20" s="83"/>
      <c r="G20" s="84"/>
      <c r="H20" s="84"/>
    </row>
    <row r="21" spans="2:8" x14ac:dyDescent="0.35">
      <c r="B21" s="80"/>
      <c r="C21" s="81"/>
      <c r="D21" s="81"/>
      <c r="E21" s="82"/>
      <c r="F21" s="83"/>
      <c r="G21" s="84"/>
      <c r="H21" s="84"/>
    </row>
    <row r="22" spans="2:8" x14ac:dyDescent="0.35">
      <c r="B22" s="80"/>
      <c r="C22" s="81"/>
      <c r="D22" s="81"/>
      <c r="E22" s="82"/>
      <c r="F22" s="83"/>
      <c r="G22" s="84"/>
      <c r="H22" s="84"/>
    </row>
    <row r="23" spans="2:8" x14ac:dyDescent="0.35">
      <c r="B23" s="80"/>
      <c r="C23" s="81"/>
      <c r="D23" s="81"/>
      <c r="E23" s="82"/>
      <c r="F23" s="83"/>
      <c r="G23" s="84"/>
      <c r="H23" s="84"/>
    </row>
    <row r="24" spans="2:8" x14ac:dyDescent="0.35">
      <c r="B24" s="80"/>
      <c r="C24" s="81"/>
      <c r="D24" s="81"/>
      <c r="E24" s="82"/>
      <c r="F24" s="83"/>
      <c r="G24" s="84"/>
      <c r="H24" s="84"/>
    </row>
    <row r="25" spans="2:8" x14ac:dyDescent="0.35">
      <c r="B25" s="80"/>
      <c r="C25" s="81"/>
      <c r="D25" s="81"/>
      <c r="E25" s="82"/>
      <c r="F25" s="83"/>
      <c r="G25" s="84"/>
      <c r="H25" s="84"/>
    </row>
    <row r="26" spans="2:8" x14ac:dyDescent="0.35">
      <c r="B26" s="80"/>
      <c r="C26" s="81"/>
      <c r="D26" s="81"/>
      <c r="E26" s="82"/>
      <c r="F26" s="83"/>
      <c r="G26" s="84"/>
      <c r="H26" s="84"/>
    </row>
    <row r="27" spans="2:8" x14ac:dyDescent="0.35">
      <c r="B27" s="80"/>
      <c r="C27" s="81"/>
      <c r="D27" s="81"/>
      <c r="E27" s="82"/>
      <c r="F27" s="83"/>
      <c r="G27" s="84"/>
      <c r="H27" s="84"/>
    </row>
    <row r="28" spans="2:8" x14ac:dyDescent="0.35">
      <c r="B28" s="80"/>
      <c r="C28" s="81"/>
      <c r="D28" s="81"/>
      <c r="E28" s="82"/>
      <c r="F28" s="83"/>
      <c r="G28" s="84"/>
      <c r="H28" s="84"/>
    </row>
    <row r="29" spans="2:8" x14ac:dyDescent="0.35">
      <c r="B29" s="80"/>
      <c r="C29" s="81"/>
      <c r="D29" s="81"/>
      <c r="E29" s="82"/>
      <c r="F29" s="83"/>
      <c r="G29" s="84"/>
      <c r="H29" s="84"/>
    </row>
    <row r="30" spans="2:8" x14ac:dyDescent="0.35">
      <c r="B30" s="80"/>
      <c r="C30" s="81"/>
      <c r="D30" s="81"/>
      <c r="E30" s="82"/>
      <c r="F30" s="83"/>
      <c r="G30" s="84"/>
      <c r="H30" s="84"/>
    </row>
    <row r="31" spans="2:8" x14ac:dyDescent="0.35">
      <c r="B31" s="80"/>
      <c r="C31" s="81"/>
      <c r="D31" s="81"/>
      <c r="E31" s="82"/>
      <c r="F31" s="83"/>
      <c r="G31" s="84"/>
      <c r="H31" s="84"/>
    </row>
    <row r="32" spans="2:8" x14ac:dyDescent="0.35">
      <c r="B32" s="80"/>
      <c r="C32" s="81"/>
      <c r="D32" s="81"/>
      <c r="E32" s="82"/>
      <c r="F32" s="83"/>
      <c r="G32" s="84"/>
      <c r="H32" s="84"/>
    </row>
    <row r="33" spans="2:8" x14ac:dyDescent="0.35">
      <c r="B33" s="80"/>
      <c r="C33" s="81"/>
      <c r="D33" s="81"/>
      <c r="E33" s="82"/>
      <c r="F33" s="83"/>
      <c r="G33" s="84"/>
      <c r="H33" s="84"/>
    </row>
    <row r="34" spans="2:8" x14ac:dyDescent="0.35">
      <c r="B34" s="80"/>
      <c r="C34" s="81"/>
      <c r="D34" s="81"/>
      <c r="E34" s="82"/>
      <c r="F34" s="83"/>
      <c r="G34" s="84"/>
      <c r="H34" s="84"/>
    </row>
    <row r="35" spans="2:8" x14ac:dyDescent="0.35">
      <c r="B35" s="80"/>
      <c r="C35" s="81"/>
      <c r="D35" s="81"/>
      <c r="E35" s="82"/>
      <c r="F35" s="83"/>
      <c r="G35" s="84"/>
      <c r="H35" s="84"/>
    </row>
    <row r="36" spans="2:8" x14ac:dyDescent="0.35">
      <c r="B36" s="80"/>
      <c r="C36" s="81"/>
      <c r="D36" s="81"/>
      <c r="E36" s="82"/>
      <c r="F36" s="83"/>
      <c r="G36" s="84"/>
      <c r="H36" s="84"/>
    </row>
    <row r="37" spans="2:8" x14ac:dyDescent="0.35">
      <c r="B37" s="80"/>
      <c r="C37" s="81"/>
      <c r="D37" s="81"/>
      <c r="E37" s="82"/>
      <c r="F37" s="83"/>
      <c r="G37" s="84"/>
      <c r="H37" s="84"/>
    </row>
    <row r="38" spans="2:8" x14ac:dyDescent="0.35">
      <c r="B38" s="80"/>
      <c r="C38" s="81"/>
      <c r="D38" s="81"/>
      <c r="E38" s="82"/>
      <c r="F38" s="83"/>
      <c r="G38" s="84"/>
      <c r="H38" s="84"/>
    </row>
    <row r="39" spans="2:8" x14ac:dyDescent="0.35">
      <c r="B39" s="80"/>
      <c r="C39" s="81"/>
      <c r="D39" s="81"/>
      <c r="E39" s="82"/>
      <c r="F39" s="83"/>
      <c r="G39" s="84"/>
      <c r="H39" s="84"/>
    </row>
    <row r="40" spans="2:8" x14ac:dyDescent="0.35">
      <c r="B40" s="80"/>
      <c r="C40" s="81"/>
      <c r="D40" s="81"/>
      <c r="E40" s="82"/>
      <c r="F40" s="83"/>
      <c r="G40" s="84"/>
      <c r="H40" s="84"/>
    </row>
    <row r="41" spans="2:8" x14ac:dyDescent="0.35">
      <c r="B41" s="80"/>
      <c r="C41" s="81"/>
      <c r="D41" s="81"/>
      <c r="E41" s="82"/>
      <c r="F41" s="83"/>
      <c r="G41" s="84"/>
      <c r="H41" s="84"/>
    </row>
    <row r="42" spans="2:8" x14ac:dyDescent="0.35">
      <c r="B42" s="80"/>
      <c r="C42" s="81"/>
      <c r="D42" s="81"/>
      <c r="E42" s="82"/>
      <c r="F42" s="83"/>
      <c r="G42" s="84"/>
      <c r="H42" s="84"/>
    </row>
    <row r="43" spans="2:8" x14ac:dyDescent="0.35">
      <c r="B43" s="80"/>
      <c r="C43" s="81"/>
      <c r="D43" s="81"/>
      <c r="E43" s="82"/>
      <c r="F43" s="83"/>
      <c r="G43" s="84"/>
      <c r="H43" s="84"/>
    </row>
    <row r="44" spans="2:8" x14ac:dyDescent="0.35">
      <c r="B44" s="80"/>
      <c r="C44" s="81"/>
      <c r="D44" s="81"/>
      <c r="E44" s="82"/>
      <c r="F44" s="83"/>
      <c r="G44" s="84"/>
      <c r="H44" s="84"/>
    </row>
    <row r="45" spans="2:8" x14ac:dyDescent="0.35">
      <c r="B45" s="80"/>
      <c r="C45" s="81"/>
      <c r="D45" s="81"/>
      <c r="E45" s="82"/>
      <c r="F45" s="83"/>
      <c r="G45" s="84"/>
      <c r="H45" s="84"/>
    </row>
    <row r="46" spans="2:8" x14ac:dyDescent="0.35">
      <c r="B46" s="80"/>
      <c r="C46" s="81"/>
      <c r="D46" s="81"/>
      <c r="E46" s="82"/>
      <c r="F46" s="83"/>
      <c r="G46" s="84"/>
      <c r="H46" s="84"/>
    </row>
    <row r="47" spans="2:8" x14ac:dyDescent="0.35">
      <c r="B47" s="80"/>
      <c r="C47" s="81"/>
      <c r="D47" s="81"/>
      <c r="E47" s="82"/>
      <c r="F47" s="83"/>
      <c r="G47" s="84"/>
      <c r="H47" s="84"/>
    </row>
    <row r="48" spans="2:8" x14ac:dyDescent="0.35">
      <c r="B48" s="80"/>
      <c r="C48" s="81"/>
      <c r="D48" s="81"/>
      <c r="E48" s="82"/>
      <c r="F48" s="83"/>
      <c r="G48" s="84"/>
      <c r="H48" s="84"/>
    </row>
    <row r="49" spans="2:8" x14ac:dyDescent="0.35">
      <c r="B49" s="80"/>
      <c r="C49" s="81"/>
      <c r="D49" s="81"/>
      <c r="E49" s="82"/>
      <c r="F49" s="83"/>
      <c r="G49" s="84"/>
      <c r="H49" s="84"/>
    </row>
    <row r="50" spans="2:8" x14ac:dyDescent="0.35">
      <c r="B50" s="80"/>
      <c r="C50" s="81"/>
      <c r="D50" s="81"/>
      <c r="E50" s="82"/>
      <c r="F50" s="83"/>
      <c r="G50" s="84"/>
      <c r="H50" s="84"/>
    </row>
    <row r="51" spans="2:8" x14ac:dyDescent="0.35">
      <c r="B51" s="80"/>
      <c r="C51" s="81"/>
      <c r="D51" s="81"/>
      <c r="E51" s="82"/>
      <c r="F51" s="83"/>
      <c r="G51" s="84"/>
      <c r="H51" s="84"/>
    </row>
    <row r="52" spans="2:8" x14ac:dyDescent="0.35">
      <c r="B52" s="80"/>
      <c r="C52" s="81"/>
      <c r="D52" s="81"/>
      <c r="E52" s="82"/>
      <c r="F52" s="83"/>
      <c r="G52" s="84"/>
      <c r="H52" s="84"/>
    </row>
    <row r="53" spans="2:8" x14ac:dyDescent="0.35">
      <c r="B53" s="80"/>
      <c r="C53" s="81"/>
      <c r="D53" s="81"/>
      <c r="E53" s="82"/>
      <c r="F53" s="83"/>
      <c r="G53" s="84"/>
      <c r="H53" s="84"/>
    </row>
    <row r="54" spans="2:8" x14ac:dyDescent="0.35">
      <c r="B54" s="80"/>
      <c r="C54" s="81"/>
      <c r="D54" s="81"/>
      <c r="E54" s="82"/>
      <c r="F54" s="83"/>
      <c r="G54" s="84"/>
      <c r="H54" s="84"/>
    </row>
    <row r="55" spans="2:8" x14ac:dyDescent="0.35">
      <c r="B55" s="80"/>
      <c r="C55" s="81"/>
      <c r="D55" s="81"/>
      <c r="E55" s="82"/>
      <c r="F55" s="83"/>
      <c r="G55" s="84"/>
      <c r="H55" s="84"/>
    </row>
    <row r="56" spans="2:8" x14ac:dyDescent="0.35">
      <c r="B56" s="80"/>
      <c r="C56" s="81"/>
      <c r="D56" s="81"/>
      <c r="E56" s="82"/>
      <c r="F56" s="83"/>
      <c r="G56" s="84"/>
      <c r="H56" s="84"/>
    </row>
    <row r="57" spans="2:8" x14ac:dyDescent="0.35">
      <c r="B57" s="80"/>
      <c r="C57" s="81"/>
      <c r="D57" s="81"/>
      <c r="E57" s="82"/>
      <c r="F57" s="83"/>
      <c r="G57" s="84"/>
      <c r="H57" s="84"/>
    </row>
    <row r="58" spans="2:8" x14ac:dyDescent="0.35">
      <c r="B58" s="80"/>
      <c r="C58" s="81"/>
      <c r="D58" s="81"/>
      <c r="E58" s="82"/>
      <c r="F58" s="83"/>
      <c r="G58" s="84"/>
      <c r="H58" s="84"/>
    </row>
    <row r="59" spans="2:8" x14ac:dyDescent="0.35">
      <c r="B59" s="80"/>
      <c r="C59" s="81"/>
      <c r="D59" s="81"/>
      <c r="E59" s="82"/>
      <c r="F59" s="83"/>
      <c r="G59" s="84"/>
      <c r="H59" s="84"/>
    </row>
    <row r="60" spans="2:8" x14ac:dyDescent="0.35">
      <c r="B60" s="80"/>
      <c r="C60" s="81"/>
      <c r="D60" s="81"/>
      <c r="E60" s="82"/>
      <c r="F60" s="83"/>
      <c r="G60" s="84"/>
      <c r="H60" s="84"/>
    </row>
    <row r="61" spans="2:8" x14ac:dyDescent="0.35">
      <c r="B61" s="80"/>
      <c r="C61" s="81"/>
      <c r="D61" s="81"/>
      <c r="E61" s="82"/>
      <c r="F61" s="83"/>
      <c r="G61" s="84"/>
      <c r="H61" s="84"/>
    </row>
    <row r="62" spans="2:8" x14ac:dyDescent="0.35">
      <c r="B62" s="80"/>
      <c r="C62" s="81"/>
      <c r="D62" s="81"/>
      <c r="E62" s="82"/>
      <c r="F62" s="83"/>
      <c r="G62" s="84"/>
      <c r="H62" s="84"/>
    </row>
    <row r="63" spans="2:8" x14ac:dyDescent="0.35">
      <c r="B63" s="80"/>
      <c r="C63" s="81"/>
      <c r="D63" s="81"/>
      <c r="E63" s="82"/>
      <c r="F63" s="83"/>
      <c r="G63" s="84"/>
      <c r="H63" s="84"/>
    </row>
    <row r="64" spans="2:8" x14ac:dyDescent="0.35">
      <c r="B64" s="80"/>
      <c r="C64" s="81"/>
      <c r="D64" s="81"/>
      <c r="E64" s="82"/>
      <c r="F64" s="83"/>
      <c r="G64" s="84"/>
      <c r="H64" s="84"/>
    </row>
    <row r="65" spans="2:8" x14ac:dyDescent="0.35">
      <c r="B65" s="80"/>
      <c r="C65" s="81"/>
      <c r="D65" s="81"/>
      <c r="E65" s="82"/>
      <c r="F65" s="83"/>
      <c r="G65" s="84"/>
      <c r="H65" s="84"/>
    </row>
    <row r="66" spans="2:8" x14ac:dyDescent="0.35">
      <c r="B66" s="80"/>
      <c r="C66" s="81"/>
      <c r="D66" s="81"/>
      <c r="E66" s="82"/>
      <c r="F66" s="83"/>
      <c r="G66" s="84"/>
      <c r="H66" s="84"/>
    </row>
    <row r="67" spans="2:8" x14ac:dyDescent="0.35">
      <c r="B67" s="80"/>
      <c r="C67" s="81"/>
      <c r="D67" s="81"/>
      <c r="E67" s="82"/>
      <c r="F67" s="83"/>
      <c r="G67" s="84"/>
      <c r="H67" s="84"/>
    </row>
    <row r="68" spans="2:8" x14ac:dyDescent="0.35">
      <c r="B68" s="80"/>
      <c r="C68" s="81"/>
      <c r="D68" s="81"/>
      <c r="E68" s="82"/>
      <c r="F68" s="83"/>
      <c r="G68" s="84"/>
      <c r="H68" s="84"/>
    </row>
    <row r="69" spans="2:8" x14ac:dyDescent="0.35">
      <c r="B69" s="80"/>
      <c r="C69" s="81"/>
      <c r="D69" s="81"/>
      <c r="E69" s="82"/>
      <c r="F69" s="83"/>
      <c r="G69" s="84"/>
      <c r="H69" s="84"/>
    </row>
    <row r="70" spans="2:8" x14ac:dyDescent="0.35">
      <c r="B70" s="80"/>
      <c r="C70" s="81"/>
      <c r="D70" s="81"/>
      <c r="E70" s="82"/>
      <c r="F70" s="83"/>
      <c r="G70" s="84"/>
      <c r="H70" s="84"/>
    </row>
    <row r="71" spans="2:8" x14ac:dyDescent="0.35">
      <c r="B71" s="80"/>
      <c r="C71" s="81"/>
      <c r="D71" s="81"/>
      <c r="E71" s="82"/>
      <c r="F71" s="83"/>
      <c r="G71" s="84"/>
      <c r="H71" s="84"/>
    </row>
    <row r="72" spans="2:8" x14ac:dyDescent="0.35">
      <c r="B72" s="80"/>
      <c r="C72" s="81"/>
      <c r="D72" s="81"/>
      <c r="E72" s="82"/>
      <c r="F72" s="83"/>
      <c r="G72" s="84"/>
      <c r="H72" s="84"/>
    </row>
    <row r="73" spans="2:8" x14ac:dyDescent="0.35">
      <c r="B73" s="80"/>
      <c r="C73" s="81"/>
      <c r="D73" s="81"/>
      <c r="E73" s="82"/>
      <c r="F73" s="83"/>
      <c r="G73" s="84"/>
      <c r="H73" s="84"/>
    </row>
    <row r="74" spans="2:8" x14ac:dyDescent="0.35">
      <c r="B74" s="80"/>
      <c r="C74" s="81"/>
      <c r="D74" s="81"/>
      <c r="E74" s="82"/>
      <c r="F74" s="83"/>
      <c r="G74" s="84"/>
      <c r="H74" s="84"/>
    </row>
    <row r="75" spans="2:8" x14ac:dyDescent="0.35">
      <c r="B75" s="80"/>
      <c r="C75" s="81"/>
      <c r="D75" s="81"/>
      <c r="E75" s="82"/>
      <c r="F75" s="83"/>
      <c r="G75" s="84"/>
      <c r="H75" s="84"/>
    </row>
    <row r="76" spans="2:8" x14ac:dyDescent="0.35">
      <c r="B76" s="80"/>
      <c r="C76" s="81"/>
      <c r="D76" s="81"/>
      <c r="E76" s="82"/>
      <c r="F76" s="83"/>
      <c r="G76" s="84"/>
      <c r="H76" s="84"/>
    </row>
    <row r="77" spans="2:8" x14ac:dyDescent="0.35">
      <c r="B77" s="80"/>
      <c r="C77" s="81"/>
      <c r="D77" s="81"/>
      <c r="E77" s="82"/>
      <c r="F77" s="83"/>
      <c r="G77" s="84"/>
      <c r="H77" s="84"/>
    </row>
    <row r="78" spans="2:8" x14ac:dyDescent="0.35">
      <c r="B78" s="80"/>
      <c r="C78" s="81"/>
      <c r="D78" s="81"/>
      <c r="E78" s="82"/>
      <c r="F78" s="83"/>
      <c r="G78" s="84"/>
      <c r="H78" s="84"/>
    </row>
    <row r="79" spans="2:8" x14ac:dyDescent="0.35">
      <c r="B79" s="80"/>
      <c r="C79" s="81"/>
      <c r="D79" s="81"/>
      <c r="E79" s="82"/>
      <c r="F79" s="83"/>
      <c r="G79" s="84"/>
      <c r="H79" s="84"/>
    </row>
    <row r="80" spans="2:8" x14ac:dyDescent="0.35">
      <c r="B80" s="80"/>
      <c r="C80" s="81"/>
      <c r="D80" s="81"/>
      <c r="E80" s="82"/>
      <c r="F80" s="83"/>
      <c r="G80" s="84"/>
      <c r="H80" s="84"/>
    </row>
    <row r="81" spans="2:8" x14ac:dyDescent="0.35">
      <c r="B81" s="80"/>
      <c r="C81" s="81"/>
      <c r="D81" s="81"/>
      <c r="E81" s="82"/>
      <c r="F81" s="83"/>
      <c r="G81" s="84"/>
      <c r="H81" s="84"/>
    </row>
    <row r="82" spans="2:8" x14ac:dyDescent="0.35">
      <c r="B82" s="80"/>
      <c r="C82" s="81"/>
      <c r="D82" s="81"/>
      <c r="E82" s="82"/>
      <c r="F82" s="83"/>
      <c r="G82" s="84"/>
      <c r="H82" s="84"/>
    </row>
    <row r="83" spans="2:8" x14ac:dyDescent="0.35">
      <c r="B83" s="80"/>
      <c r="C83" s="81"/>
      <c r="D83" s="81"/>
      <c r="E83" s="82"/>
      <c r="F83" s="83"/>
      <c r="G83" s="84"/>
      <c r="H83" s="84"/>
    </row>
    <row r="84" spans="2:8" x14ac:dyDescent="0.35">
      <c r="B84" s="80"/>
      <c r="C84" s="81"/>
      <c r="D84" s="81"/>
      <c r="E84" s="82"/>
      <c r="F84" s="83"/>
      <c r="G84" s="84"/>
      <c r="H84" s="84"/>
    </row>
    <row r="85" spans="2:8" x14ac:dyDescent="0.35">
      <c r="B85" s="80"/>
      <c r="C85" s="81"/>
      <c r="D85" s="81"/>
      <c r="E85" s="82"/>
      <c r="F85" s="83"/>
      <c r="G85" s="84"/>
      <c r="H85" s="84"/>
    </row>
    <row r="86" spans="2:8" x14ac:dyDescent="0.35">
      <c r="B86" s="80"/>
      <c r="C86" s="81"/>
      <c r="D86" s="81"/>
      <c r="E86" s="82"/>
      <c r="F86" s="83"/>
      <c r="G86" s="84"/>
      <c r="H86" s="84"/>
    </row>
    <row r="87" spans="2:8" x14ac:dyDescent="0.35">
      <c r="B87" s="80"/>
      <c r="C87" s="81"/>
      <c r="D87" s="81"/>
      <c r="E87" s="82"/>
      <c r="F87" s="83"/>
      <c r="G87" s="84"/>
      <c r="H87" s="84"/>
    </row>
    <row r="88" spans="2:8" x14ac:dyDescent="0.35">
      <c r="B88" s="80"/>
      <c r="C88" s="81"/>
      <c r="D88" s="81"/>
      <c r="E88" s="82"/>
      <c r="F88" s="83"/>
      <c r="G88" s="84"/>
      <c r="H88" s="84"/>
    </row>
    <row r="89" spans="2:8" x14ac:dyDescent="0.35">
      <c r="B89" s="80"/>
      <c r="C89" s="81"/>
      <c r="D89" s="81"/>
      <c r="E89" s="82"/>
      <c r="F89" s="83"/>
      <c r="G89" s="84"/>
      <c r="H89" s="84"/>
    </row>
    <row r="90" spans="2:8" x14ac:dyDescent="0.35">
      <c r="B90" s="80"/>
      <c r="C90" s="81"/>
      <c r="D90" s="81"/>
      <c r="E90" s="82"/>
      <c r="F90" s="83"/>
      <c r="G90" s="84"/>
      <c r="H90" s="84"/>
    </row>
    <row r="91" spans="2:8" x14ac:dyDescent="0.35">
      <c r="B91" s="80"/>
      <c r="C91" s="81"/>
      <c r="D91" s="81"/>
      <c r="E91" s="82"/>
      <c r="F91" s="83"/>
      <c r="G91" s="84"/>
      <c r="H91" s="84"/>
    </row>
    <row r="92" spans="2:8" x14ac:dyDescent="0.35">
      <c r="B92" s="80"/>
      <c r="C92" s="81"/>
      <c r="D92" s="81"/>
      <c r="E92" s="82"/>
      <c r="F92" s="83"/>
      <c r="G92" s="84"/>
      <c r="H92" s="84"/>
    </row>
    <row r="93" spans="2:8" x14ac:dyDescent="0.35">
      <c r="B93" s="80"/>
      <c r="C93" s="81"/>
      <c r="D93" s="81"/>
      <c r="E93" s="82"/>
      <c r="F93" s="83"/>
      <c r="G93" s="84"/>
      <c r="H93" s="84"/>
    </row>
    <row r="94" spans="2:8" x14ac:dyDescent="0.35">
      <c r="B94" s="80"/>
      <c r="C94" s="81"/>
      <c r="D94" s="81"/>
      <c r="E94" s="82"/>
      <c r="F94" s="83"/>
      <c r="G94" s="84"/>
      <c r="H94" s="84"/>
    </row>
    <row r="95" spans="2:8" x14ac:dyDescent="0.35">
      <c r="B95" s="80"/>
      <c r="C95" s="81"/>
      <c r="D95" s="81"/>
      <c r="E95" s="82"/>
      <c r="F95" s="83"/>
      <c r="G95" s="84"/>
      <c r="H95" s="84"/>
    </row>
    <row r="96" spans="2:8" x14ac:dyDescent="0.35">
      <c r="B96" s="80"/>
      <c r="C96" s="81"/>
      <c r="D96" s="81"/>
      <c r="E96" s="82"/>
      <c r="F96" s="83"/>
      <c r="G96" s="84"/>
      <c r="H96" s="84"/>
    </row>
    <row r="97" spans="2:8" x14ac:dyDescent="0.35">
      <c r="B97" s="80"/>
      <c r="C97" s="81"/>
      <c r="D97" s="81"/>
      <c r="E97" s="82"/>
      <c r="F97" s="83"/>
      <c r="G97" s="84"/>
      <c r="H97" s="84"/>
    </row>
    <row r="98" spans="2:8" x14ac:dyDescent="0.35">
      <c r="B98" s="80"/>
      <c r="C98" s="81"/>
      <c r="D98" s="81"/>
      <c r="E98" s="82"/>
      <c r="F98" s="83"/>
      <c r="G98" s="84"/>
      <c r="H98" s="84"/>
    </row>
    <row r="99" spans="2:8" x14ac:dyDescent="0.35">
      <c r="B99" s="80"/>
      <c r="C99" s="81"/>
      <c r="D99" s="81"/>
      <c r="E99" s="82"/>
      <c r="F99" s="83"/>
      <c r="G99" s="84"/>
      <c r="H99" s="84"/>
    </row>
    <row r="100" spans="2:8" x14ac:dyDescent="0.35">
      <c r="B100" s="80"/>
      <c r="C100" s="81"/>
      <c r="D100" s="81"/>
      <c r="E100" s="82"/>
      <c r="F100" s="83"/>
      <c r="G100" s="84"/>
      <c r="H100" s="84"/>
    </row>
    <row r="101" spans="2:8" x14ac:dyDescent="0.35">
      <c r="B101" s="80"/>
      <c r="C101" s="81"/>
      <c r="D101" s="81"/>
      <c r="E101" s="82"/>
      <c r="F101" s="83"/>
      <c r="G101" s="84"/>
      <c r="H101" s="84"/>
    </row>
    <row r="102" spans="2:8" x14ac:dyDescent="0.35">
      <c r="B102" s="80"/>
      <c r="C102" s="81"/>
      <c r="D102" s="81"/>
      <c r="E102" s="82"/>
      <c r="F102" s="83"/>
      <c r="G102" s="84"/>
      <c r="H102" s="84"/>
    </row>
    <row r="103" spans="2:8" x14ac:dyDescent="0.35">
      <c r="B103" s="80"/>
      <c r="C103" s="81"/>
      <c r="D103" s="81"/>
      <c r="E103" s="82"/>
      <c r="F103" s="83"/>
      <c r="G103" s="84"/>
      <c r="H103" s="84"/>
    </row>
    <row r="104" spans="2:8" x14ac:dyDescent="0.35">
      <c r="B104" s="80"/>
      <c r="C104" s="81"/>
      <c r="D104" s="81"/>
      <c r="E104" s="82"/>
      <c r="F104" s="83"/>
      <c r="G104" s="84"/>
      <c r="H104" s="84"/>
    </row>
    <row r="105" spans="2:8" x14ac:dyDescent="0.35">
      <c r="B105" s="80"/>
      <c r="C105" s="81"/>
      <c r="D105" s="81"/>
      <c r="E105" s="82"/>
      <c r="F105" s="83"/>
      <c r="G105" s="84"/>
      <c r="H105" s="84"/>
    </row>
    <row r="106" spans="2:8" x14ac:dyDescent="0.35">
      <c r="B106" s="80"/>
      <c r="C106" s="81"/>
      <c r="D106" s="81"/>
      <c r="E106" s="82"/>
      <c r="F106" s="83"/>
      <c r="G106" s="84"/>
      <c r="H106" s="84"/>
    </row>
    <row r="107" spans="2:8" x14ac:dyDescent="0.35">
      <c r="B107" s="80"/>
      <c r="C107" s="81"/>
      <c r="D107" s="81"/>
      <c r="E107" s="82"/>
      <c r="F107" s="83"/>
      <c r="G107" s="84"/>
      <c r="H107" s="84"/>
    </row>
    <row r="108" spans="2:8" x14ac:dyDescent="0.35">
      <c r="B108" s="80"/>
      <c r="C108" s="81"/>
      <c r="D108" s="81"/>
      <c r="E108" s="82"/>
      <c r="F108" s="83"/>
      <c r="G108" s="84"/>
      <c r="H108" s="84"/>
    </row>
    <row r="109" spans="2:8" x14ac:dyDescent="0.35">
      <c r="B109" s="80"/>
      <c r="C109" s="81"/>
      <c r="D109" s="81"/>
      <c r="E109" s="82"/>
      <c r="F109" s="83"/>
      <c r="G109" s="84"/>
      <c r="H109" s="84"/>
    </row>
    <row r="110" spans="2:8" x14ac:dyDescent="0.35">
      <c r="B110" s="80"/>
      <c r="C110" s="81"/>
      <c r="D110" s="81"/>
      <c r="E110" s="82"/>
      <c r="F110" s="83"/>
      <c r="G110" s="84"/>
      <c r="H110" s="84"/>
    </row>
    <row r="111" spans="2:8" x14ac:dyDescent="0.35">
      <c r="B111" s="80"/>
      <c r="C111" s="81"/>
      <c r="D111" s="81"/>
      <c r="E111" s="82"/>
      <c r="F111" s="83"/>
      <c r="G111" s="84"/>
      <c r="H111" s="84"/>
    </row>
    <row r="112" spans="2:8" x14ac:dyDescent="0.35">
      <c r="B112" s="80"/>
      <c r="C112" s="81"/>
      <c r="D112" s="81"/>
      <c r="E112" s="82"/>
      <c r="F112" s="83"/>
      <c r="G112" s="84"/>
      <c r="H112" s="84"/>
    </row>
    <row r="113" spans="2:8" x14ac:dyDescent="0.35">
      <c r="B113" s="80"/>
      <c r="C113" s="81"/>
      <c r="D113" s="81"/>
      <c r="E113" s="82"/>
      <c r="F113" s="83"/>
      <c r="G113" s="84"/>
      <c r="H113" s="84"/>
    </row>
    <row r="114" spans="2:8" x14ac:dyDescent="0.35">
      <c r="B114" s="80"/>
      <c r="C114" s="81"/>
      <c r="D114" s="81"/>
      <c r="E114" s="82"/>
      <c r="F114" s="83"/>
      <c r="G114" s="84"/>
      <c r="H114" s="84"/>
    </row>
    <row r="115" spans="2:8" x14ac:dyDescent="0.35">
      <c r="B115" s="80"/>
      <c r="C115" s="81"/>
      <c r="D115" s="81"/>
      <c r="E115" s="82"/>
      <c r="F115" s="83"/>
      <c r="G115" s="84"/>
      <c r="H115" s="84"/>
    </row>
    <row r="116" spans="2:8" x14ac:dyDescent="0.35">
      <c r="B116" s="80"/>
      <c r="C116" s="81"/>
      <c r="D116" s="81"/>
      <c r="E116" s="82"/>
      <c r="F116" s="83"/>
      <c r="G116" s="84"/>
      <c r="H116" s="84"/>
    </row>
    <row r="117" spans="2:8" x14ac:dyDescent="0.35">
      <c r="B117" s="80"/>
      <c r="C117" s="81"/>
      <c r="D117" s="81"/>
      <c r="E117" s="82"/>
      <c r="F117" s="83"/>
      <c r="G117" s="84"/>
      <c r="H117" s="84"/>
    </row>
    <row r="118" spans="2:8" x14ac:dyDescent="0.35">
      <c r="B118" s="80"/>
      <c r="C118" s="81"/>
      <c r="D118" s="81"/>
      <c r="E118" s="82"/>
      <c r="F118" s="83"/>
      <c r="G118" s="84"/>
      <c r="H118" s="84"/>
    </row>
    <row r="119" spans="2:8" x14ac:dyDescent="0.35">
      <c r="B119" s="80"/>
      <c r="C119" s="81"/>
      <c r="D119" s="81"/>
      <c r="E119" s="82"/>
      <c r="F119" s="83"/>
      <c r="G119" s="84"/>
      <c r="H119" s="84"/>
    </row>
    <row r="120" spans="2:8" x14ac:dyDescent="0.35">
      <c r="B120" s="80"/>
      <c r="C120" s="81"/>
      <c r="D120" s="81"/>
      <c r="E120" s="82"/>
      <c r="F120" s="83"/>
      <c r="G120" s="84"/>
      <c r="H120" s="84"/>
    </row>
    <row r="121" spans="2:8" x14ac:dyDescent="0.35">
      <c r="B121" s="80"/>
      <c r="C121" s="81"/>
      <c r="D121" s="81"/>
      <c r="E121" s="82"/>
      <c r="F121" s="83"/>
      <c r="G121" s="84"/>
      <c r="H121" s="84"/>
    </row>
    <row r="122" spans="2:8" x14ac:dyDescent="0.35">
      <c r="B122" s="80"/>
      <c r="C122" s="81"/>
      <c r="D122" s="81"/>
      <c r="E122" s="82"/>
      <c r="F122" s="83"/>
      <c r="G122" s="84"/>
      <c r="H122" s="84"/>
    </row>
    <row r="123" spans="2:8" x14ac:dyDescent="0.35">
      <c r="B123" s="80"/>
      <c r="C123" s="81"/>
      <c r="D123" s="81"/>
      <c r="E123" s="82"/>
      <c r="F123" s="83"/>
      <c r="G123" s="84"/>
      <c r="H123" s="84"/>
    </row>
    <row r="124" spans="2:8" x14ac:dyDescent="0.35">
      <c r="B124" s="80"/>
      <c r="C124" s="81"/>
      <c r="D124" s="81"/>
      <c r="E124" s="82"/>
      <c r="F124" s="83"/>
      <c r="G124" s="84"/>
      <c r="H124" s="84"/>
    </row>
    <row r="125" spans="2:8" x14ac:dyDescent="0.35">
      <c r="B125" s="80"/>
      <c r="C125" s="81"/>
      <c r="D125" s="81"/>
      <c r="E125" s="82"/>
      <c r="F125" s="83"/>
      <c r="G125" s="84"/>
      <c r="H125" s="84"/>
    </row>
    <row r="126" spans="2:8" x14ac:dyDescent="0.35">
      <c r="B126" s="80"/>
      <c r="C126" s="81"/>
      <c r="D126" s="81"/>
      <c r="E126" s="82"/>
      <c r="F126" s="83"/>
      <c r="G126" s="84"/>
      <c r="H126" s="84"/>
    </row>
    <row r="127" spans="2:8" x14ac:dyDescent="0.35">
      <c r="B127" s="80"/>
      <c r="C127" s="81"/>
      <c r="D127" s="81"/>
      <c r="E127" s="82"/>
      <c r="F127" s="83"/>
      <c r="G127" s="84"/>
      <c r="H127" s="84"/>
    </row>
    <row r="128" spans="2:8" x14ac:dyDescent="0.35">
      <c r="B128" s="80"/>
      <c r="C128" s="81"/>
      <c r="D128" s="81"/>
      <c r="E128" s="82"/>
      <c r="F128" s="83"/>
      <c r="G128" s="84"/>
      <c r="H128" s="84"/>
    </row>
    <row r="129" spans="2:8" x14ac:dyDescent="0.35">
      <c r="B129" s="80"/>
      <c r="C129" s="81"/>
      <c r="D129" s="81"/>
      <c r="E129" s="82"/>
      <c r="F129" s="83"/>
      <c r="G129" s="84"/>
      <c r="H129" s="84"/>
    </row>
    <row r="130" spans="2:8" x14ac:dyDescent="0.35">
      <c r="B130" s="80"/>
      <c r="C130" s="81"/>
      <c r="D130" s="81"/>
      <c r="E130" s="82"/>
      <c r="F130" s="83"/>
      <c r="G130" s="84"/>
      <c r="H130" s="84"/>
    </row>
    <row r="131" spans="2:8" x14ac:dyDescent="0.35">
      <c r="B131" s="80"/>
      <c r="C131" s="81"/>
      <c r="D131" s="81"/>
      <c r="E131" s="82"/>
      <c r="F131" s="83"/>
      <c r="G131" s="84"/>
      <c r="H131" s="84"/>
    </row>
    <row r="132" spans="2:8" x14ac:dyDescent="0.35">
      <c r="B132" s="80"/>
      <c r="C132" s="81"/>
      <c r="D132" s="81"/>
      <c r="E132" s="82"/>
      <c r="F132" s="83"/>
      <c r="G132" s="84"/>
      <c r="H132" s="84"/>
    </row>
    <row r="133" spans="2:8" x14ac:dyDescent="0.35">
      <c r="B133" s="80"/>
      <c r="C133" s="81"/>
      <c r="D133" s="81"/>
      <c r="E133" s="82"/>
      <c r="F133" s="83"/>
      <c r="G133" s="84"/>
      <c r="H133" s="84"/>
    </row>
    <row r="134" spans="2:8" x14ac:dyDescent="0.35">
      <c r="B134" s="80"/>
      <c r="C134" s="81"/>
      <c r="D134" s="81"/>
      <c r="E134" s="82"/>
      <c r="F134" s="83"/>
      <c r="G134" s="84"/>
      <c r="H134" s="84"/>
    </row>
    <row r="135" spans="2:8" x14ac:dyDescent="0.35">
      <c r="B135" s="80"/>
      <c r="C135" s="81"/>
      <c r="D135" s="81"/>
      <c r="E135" s="82"/>
      <c r="F135" s="83"/>
      <c r="G135" s="84"/>
      <c r="H135" s="84"/>
    </row>
    <row r="136" spans="2:8" x14ac:dyDescent="0.35">
      <c r="B136" s="80"/>
      <c r="C136" s="81"/>
      <c r="D136" s="81"/>
      <c r="E136" s="82"/>
      <c r="F136" s="83"/>
      <c r="G136" s="84"/>
      <c r="H136" s="84"/>
    </row>
    <row r="137" spans="2:8" x14ac:dyDescent="0.35">
      <c r="B137" s="80"/>
      <c r="C137" s="81"/>
      <c r="D137" s="81"/>
      <c r="E137" s="82"/>
      <c r="F137" s="83"/>
      <c r="G137" s="84"/>
      <c r="H137" s="84"/>
    </row>
    <row r="138" spans="2:8" x14ac:dyDescent="0.35">
      <c r="B138" s="80"/>
      <c r="C138" s="81"/>
      <c r="D138" s="81"/>
      <c r="E138" s="82"/>
      <c r="F138" s="83"/>
      <c r="G138" s="84"/>
      <c r="H138" s="84"/>
    </row>
    <row r="139" spans="2:8" x14ac:dyDescent="0.35">
      <c r="B139" s="80"/>
      <c r="C139" s="81"/>
      <c r="D139" s="81"/>
      <c r="E139" s="82"/>
      <c r="F139" s="83"/>
      <c r="G139" s="84"/>
      <c r="H139" s="84"/>
    </row>
    <row r="140" spans="2:8" x14ac:dyDescent="0.35">
      <c r="B140" s="80"/>
      <c r="C140" s="81"/>
      <c r="D140" s="81"/>
      <c r="E140" s="82"/>
      <c r="F140" s="83"/>
      <c r="G140" s="84"/>
      <c r="H140" s="84"/>
    </row>
    <row r="141" spans="2:8" x14ac:dyDescent="0.35">
      <c r="B141" s="80"/>
      <c r="C141" s="81"/>
      <c r="D141" s="81"/>
      <c r="E141" s="82"/>
      <c r="F141" s="83"/>
      <c r="G141" s="84"/>
      <c r="H141" s="84"/>
    </row>
    <row r="142" spans="2:8" x14ac:dyDescent="0.35">
      <c r="B142" s="80"/>
      <c r="C142" s="81"/>
      <c r="D142" s="81"/>
      <c r="E142" s="82"/>
      <c r="F142" s="83"/>
      <c r="G142" s="84"/>
      <c r="H142" s="84"/>
    </row>
    <row r="143" spans="2:8" x14ac:dyDescent="0.35">
      <c r="B143" s="80"/>
      <c r="C143" s="81"/>
      <c r="D143" s="81"/>
      <c r="E143" s="82"/>
      <c r="F143" s="83"/>
      <c r="G143" s="84"/>
      <c r="H143" s="84"/>
    </row>
    <row r="144" spans="2:8" x14ac:dyDescent="0.35">
      <c r="B144" s="80"/>
      <c r="C144" s="81"/>
      <c r="D144" s="81"/>
      <c r="E144" s="82"/>
      <c r="F144" s="83"/>
      <c r="G144" s="84"/>
      <c r="H144" s="84"/>
    </row>
    <row r="145" spans="2:8" x14ac:dyDescent="0.35">
      <c r="B145" s="80"/>
      <c r="C145" s="81"/>
      <c r="D145" s="81"/>
      <c r="E145" s="82"/>
      <c r="F145" s="83"/>
      <c r="G145" s="84"/>
      <c r="H145" s="84"/>
    </row>
    <row r="146" spans="2:8" x14ac:dyDescent="0.35">
      <c r="B146" s="80"/>
      <c r="C146" s="81"/>
      <c r="D146" s="81"/>
      <c r="E146" s="82"/>
      <c r="F146" s="83"/>
      <c r="G146" s="84"/>
      <c r="H146" s="84"/>
    </row>
    <row r="147" spans="2:8" x14ac:dyDescent="0.35">
      <c r="B147" s="80"/>
      <c r="C147" s="81"/>
      <c r="D147" s="81"/>
      <c r="E147" s="82"/>
      <c r="F147" s="83"/>
      <c r="G147" s="84"/>
      <c r="H147" s="84"/>
    </row>
    <row r="148" spans="2:8" x14ac:dyDescent="0.35">
      <c r="B148" s="80"/>
      <c r="C148" s="81"/>
      <c r="D148" s="81"/>
      <c r="E148" s="82"/>
      <c r="F148" s="83"/>
      <c r="G148" s="84"/>
      <c r="H148" s="84"/>
    </row>
    <row r="149" spans="2:8" x14ac:dyDescent="0.35">
      <c r="B149" s="80"/>
      <c r="C149" s="81"/>
      <c r="D149" s="81"/>
      <c r="E149" s="82"/>
      <c r="F149" s="83"/>
      <c r="G149" s="84"/>
      <c r="H149" s="84"/>
    </row>
    <row r="150" spans="2:8" x14ac:dyDescent="0.35">
      <c r="B150" s="80"/>
      <c r="C150" s="81"/>
      <c r="D150" s="81"/>
      <c r="E150" s="82"/>
      <c r="F150" s="83"/>
      <c r="G150" s="84"/>
      <c r="H150" s="84"/>
    </row>
    <row r="151" spans="2:8" x14ac:dyDescent="0.35">
      <c r="B151" s="80"/>
      <c r="C151" s="81"/>
      <c r="D151" s="81"/>
      <c r="E151" s="82"/>
      <c r="F151" s="83"/>
      <c r="G151" s="84"/>
      <c r="H151" s="84"/>
    </row>
    <row r="152" spans="2:8" x14ac:dyDescent="0.35">
      <c r="B152" s="80"/>
      <c r="C152" s="81"/>
      <c r="D152" s="81"/>
      <c r="E152" s="82"/>
      <c r="F152" s="83"/>
      <c r="G152" s="84"/>
      <c r="H152" s="84"/>
    </row>
    <row r="153" spans="2:8" x14ac:dyDescent="0.35">
      <c r="B153" s="80"/>
      <c r="C153" s="81"/>
      <c r="D153" s="81"/>
      <c r="E153" s="82"/>
      <c r="F153" s="83"/>
      <c r="G153" s="84"/>
      <c r="H153" s="84"/>
    </row>
    <row r="154" spans="2:8" x14ac:dyDescent="0.35">
      <c r="B154" s="80"/>
      <c r="C154" s="81"/>
      <c r="D154" s="81"/>
      <c r="E154" s="82"/>
      <c r="F154" s="83"/>
      <c r="G154" s="84"/>
      <c r="H154" s="84"/>
    </row>
    <row r="155" spans="2:8" x14ac:dyDescent="0.35">
      <c r="B155" s="80"/>
      <c r="C155" s="81"/>
      <c r="D155" s="81"/>
      <c r="E155" s="82"/>
      <c r="F155" s="83"/>
      <c r="G155" s="84"/>
      <c r="H155" s="84"/>
    </row>
    <row r="156" spans="2:8" x14ac:dyDescent="0.35">
      <c r="B156" s="80"/>
      <c r="C156" s="81"/>
      <c r="D156" s="81"/>
      <c r="E156" s="82"/>
      <c r="F156" s="83"/>
      <c r="G156" s="84"/>
      <c r="H156" s="84"/>
    </row>
    <row r="157" spans="2:8" x14ac:dyDescent="0.35">
      <c r="B157" s="80"/>
      <c r="C157" s="81"/>
      <c r="D157" s="81"/>
      <c r="E157" s="82"/>
      <c r="F157" s="83"/>
      <c r="G157" s="84"/>
      <c r="H157" s="84"/>
    </row>
    <row r="158" spans="2:8" x14ac:dyDescent="0.35">
      <c r="B158" s="80"/>
      <c r="C158" s="81"/>
      <c r="D158" s="81"/>
      <c r="E158" s="82"/>
      <c r="F158" s="83"/>
      <c r="G158" s="84"/>
      <c r="H158" s="84"/>
    </row>
    <row r="159" spans="2:8" x14ac:dyDescent="0.35">
      <c r="B159" s="80"/>
      <c r="C159" s="81"/>
      <c r="D159" s="81"/>
      <c r="E159" s="82"/>
      <c r="F159" s="83"/>
      <c r="G159" s="84"/>
      <c r="H159" s="84"/>
    </row>
    <row r="160" spans="2:8" x14ac:dyDescent="0.35">
      <c r="B160" s="80"/>
      <c r="C160" s="81"/>
      <c r="D160" s="81"/>
      <c r="E160" s="82"/>
      <c r="F160" s="83"/>
      <c r="G160" s="84"/>
      <c r="H160" s="84"/>
    </row>
    <row r="161" spans="2:8" x14ac:dyDescent="0.35">
      <c r="B161" s="80"/>
      <c r="C161" s="81"/>
      <c r="D161" s="81"/>
      <c r="E161" s="82"/>
      <c r="F161" s="83"/>
      <c r="G161" s="84"/>
      <c r="H161" s="84"/>
    </row>
    <row r="162" spans="2:8" x14ac:dyDescent="0.35">
      <c r="B162" s="80"/>
      <c r="C162" s="81"/>
      <c r="D162" s="81"/>
      <c r="E162" s="82"/>
      <c r="F162" s="83"/>
      <c r="G162" s="84"/>
      <c r="H162" s="84"/>
    </row>
    <row r="163" spans="2:8" x14ac:dyDescent="0.35">
      <c r="B163" s="80"/>
      <c r="C163" s="81"/>
      <c r="D163" s="81"/>
      <c r="E163" s="82"/>
      <c r="F163" s="83"/>
      <c r="G163" s="84"/>
      <c r="H163" s="84"/>
    </row>
    <row r="164" spans="2:8" x14ac:dyDescent="0.35">
      <c r="B164" s="80"/>
      <c r="C164" s="81"/>
      <c r="D164" s="81"/>
      <c r="E164" s="82"/>
      <c r="F164" s="83"/>
      <c r="G164" s="84"/>
      <c r="H164" s="84"/>
    </row>
    <row r="165" spans="2:8" x14ac:dyDescent="0.35">
      <c r="B165" s="80"/>
      <c r="C165" s="81"/>
      <c r="D165" s="81"/>
      <c r="E165" s="82"/>
      <c r="F165" s="83"/>
      <c r="G165" s="84"/>
      <c r="H165" s="84"/>
    </row>
    <row r="166" spans="2:8" x14ac:dyDescent="0.35">
      <c r="B166" s="80"/>
      <c r="C166" s="81"/>
      <c r="D166" s="81"/>
      <c r="E166" s="82"/>
      <c r="F166" s="83"/>
      <c r="G166" s="84"/>
      <c r="H166" s="84"/>
    </row>
    <row r="167" spans="2:8" x14ac:dyDescent="0.35">
      <c r="B167" s="80"/>
      <c r="C167" s="81"/>
      <c r="D167" s="81"/>
      <c r="E167" s="82"/>
      <c r="F167" s="83"/>
      <c r="G167" s="84"/>
      <c r="H167" s="84"/>
    </row>
    <row r="168" spans="2:8" x14ac:dyDescent="0.35">
      <c r="B168" s="80"/>
      <c r="C168" s="81"/>
      <c r="D168" s="81"/>
      <c r="E168" s="82"/>
      <c r="F168" s="83"/>
      <c r="G168" s="84"/>
      <c r="H168" s="84"/>
    </row>
    <row r="169" spans="2:8" x14ac:dyDescent="0.35">
      <c r="B169" s="80"/>
      <c r="C169" s="81"/>
      <c r="D169" s="81"/>
      <c r="E169" s="82"/>
      <c r="F169" s="83"/>
      <c r="G169" s="84"/>
      <c r="H169" s="84"/>
    </row>
    <row r="170" spans="2:8" x14ac:dyDescent="0.35">
      <c r="B170" s="80"/>
      <c r="C170" s="81"/>
      <c r="D170" s="81"/>
      <c r="E170" s="82"/>
      <c r="F170" s="83"/>
      <c r="G170" s="84"/>
      <c r="H170" s="84"/>
    </row>
    <row r="171" spans="2:8" x14ac:dyDescent="0.35">
      <c r="B171" s="80"/>
      <c r="C171" s="81"/>
      <c r="D171" s="81"/>
      <c r="E171" s="82"/>
      <c r="F171" s="83"/>
      <c r="G171" s="84"/>
      <c r="H171" s="84"/>
    </row>
    <row r="172" spans="2:8" x14ac:dyDescent="0.35">
      <c r="B172" s="80"/>
      <c r="C172" s="81"/>
      <c r="D172" s="81"/>
      <c r="E172" s="82"/>
      <c r="F172" s="83"/>
      <c r="G172" s="84"/>
      <c r="H172" s="84"/>
    </row>
    <row r="173" spans="2:8" x14ac:dyDescent="0.35">
      <c r="B173" s="80"/>
      <c r="C173" s="81"/>
      <c r="D173" s="81"/>
      <c r="E173" s="82"/>
      <c r="F173" s="83"/>
      <c r="G173" s="84"/>
      <c r="H173" s="84"/>
    </row>
    <row r="174" spans="2:8" x14ac:dyDescent="0.35">
      <c r="B174" s="80"/>
      <c r="C174" s="81"/>
      <c r="D174" s="81"/>
      <c r="E174" s="82"/>
      <c r="F174" s="83"/>
      <c r="G174" s="84"/>
      <c r="H174" s="84"/>
    </row>
    <row r="175" spans="2:8" x14ac:dyDescent="0.35">
      <c r="B175" s="80"/>
      <c r="C175" s="81"/>
      <c r="D175" s="81"/>
      <c r="E175" s="82"/>
      <c r="F175" s="83"/>
      <c r="G175" s="84"/>
      <c r="H175" s="84"/>
    </row>
    <row r="176" spans="2:8" x14ac:dyDescent="0.35">
      <c r="B176" s="80"/>
      <c r="C176" s="81"/>
      <c r="D176" s="81"/>
      <c r="E176" s="82"/>
      <c r="F176" s="83"/>
      <c r="G176" s="84"/>
      <c r="H176" s="84"/>
    </row>
    <row r="177" spans="2:8" x14ac:dyDescent="0.35">
      <c r="B177" s="80"/>
      <c r="C177" s="81"/>
      <c r="D177" s="81"/>
      <c r="E177" s="82"/>
      <c r="F177" s="83"/>
      <c r="G177" s="84"/>
      <c r="H177" s="84"/>
    </row>
    <row r="178" spans="2:8" x14ac:dyDescent="0.35">
      <c r="B178" s="80"/>
      <c r="C178" s="81"/>
      <c r="D178" s="81"/>
      <c r="E178" s="82"/>
      <c r="F178" s="83"/>
      <c r="G178" s="84"/>
      <c r="H178" s="84"/>
    </row>
    <row r="179" spans="2:8" x14ac:dyDescent="0.35">
      <c r="B179" s="80"/>
      <c r="C179" s="81"/>
      <c r="D179" s="81"/>
      <c r="E179" s="82"/>
      <c r="F179" s="83"/>
      <c r="G179" s="84"/>
      <c r="H179" s="84"/>
    </row>
    <row r="180" spans="2:8" x14ac:dyDescent="0.35">
      <c r="B180" s="80"/>
      <c r="C180" s="81"/>
      <c r="D180" s="81"/>
      <c r="E180" s="82"/>
      <c r="F180" s="83"/>
      <c r="G180" s="84"/>
      <c r="H180" s="84"/>
    </row>
    <row r="181" spans="2:8" x14ac:dyDescent="0.35">
      <c r="B181" s="80"/>
      <c r="C181" s="81"/>
      <c r="D181" s="81"/>
      <c r="E181" s="82"/>
      <c r="F181" s="83"/>
      <c r="G181" s="84"/>
      <c r="H181" s="84"/>
    </row>
    <row r="182" spans="2:8" x14ac:dyDescent="0.35">
      <c r="B182" s="80"/>
      <c r="C182" s="81"/>
      <c r="D182" s="81"/>
      <c r="E182" s="82"/>
      <c r="F182" s="83"/>
      <c r="G182" s="84"/>
      <c r="H182" s="84"/>
    </row>
    <row r="183" spans="2:8" x14ac:dyDescent="0.35">
      <c r="B183" s="80"/>
      <c r="C183" s="81"/>
      <c r="D183" s="81"/>
      <c r="E183" s="82"/>
      <c r="F183" s="83"/>
      <c r="G183" s="84"/>
      <c r="H183" s="84"/>
    </row>
    <row r="184" spans="2:8" x14ac:dyDescent="0.35">
      <c r="B184" s="80"/>
      <c r="C184" s="81"/>
      <c r="D184" s="81"/>
      <c r="E184" s="82"/>
      <c r="F184" s="83"/>
      <c r="G184" s="84"/>
      <c r="H184" s="84"/>
    </row>
    <row r="185" spans="2:8" x14ac:dyDescent="0.35">
      <c r="B185" s="80"/>
      <c r="C185" s="81"/>
      <c r="D185" s="81"/>
      <c r="E185" s="82"/>
      <c r="F185" s="83"/>
      <c r="G185" s="84"/>
      <c r="H185" s="84"/>
    </row>
    <row r="186" spans="2:8" x14ac:dyDescent="0.35">
      <c r="B186" s="80"/>
      <c r="C186" s="81"/>
      <c r="D186" s="81"/>
      <c r="E186" s="82"/>
      <c r="F186" s="83"/>
      <c r="G186" s="84"/>
      <c r="H186" s="84"/>
    </row>
    <row r="187" spans="2:8" x14ac:dyDescent="0.35">
      <c r="B187" s="80"/>
      <c r="C187" s="81"/>
      <c r="D187" s="81"/>
      <c r="E187" s="82"/>
      <c r="F187" s="83"/>
      <c r="G187" s="84"/>
      <c r="H187" s="84"/>
    </row>
    <row r="188" spans="2:8" x14ac:dyDescent="0.35">
      <c r="B188" s="80"/>
      <c r="C188" s="81"/>
      <c r="D188" s="81"/>
      <c r="E188" s="82"/>
      <c r="F188" s="83"/>
      <c r="G188" s="84"/>
      <c r="H188" s="84"/>
    </row>
    <row r="189" spans="2:8" x14ac:dyDescent="0.35">
      <c r="B189" s="80"/>
      <c r="C189" s="81"/>
      <c r="D189" s="81"/>
      <c r="E189" s="82"/>
      <c r="F189" s="83"/>
      <c r="G189" s="84"/>
      <c r="H189" s="84"/>
    </row>
    <row r="190" spans="2:8" x14ac:dyDescent="0.35">
      <c r="B190" s="80"/>
      <c r="C190" s="81"/>
      <c r="D190" s="81"/>
      <c r="E190" s="82"/>
      <c r="F190" s="83"/>
      <c r="G190" s="84"/>
      <c r="H190" s="84"/>
    </row>
    <row r="191" spans="2:8" x14ac:dyDescent="0.35">
      <c r="B191" s="80"/>
      <c r="C191" s="81"/>
      <c r="D191" s="81"/>
      <c r="E191" s="82"/>
      <c r="F191" s="83"/>
      <c r="G191" s="84"/>
      <c r="H191" s="84"/>
    </row>
    <row r="192" spans="2:8" x14ac:dyDescent="0.35">
      <c r="B192" s="80"/>
      <c r="C192" s="81"/>
      <c r="D192" s="81"/>
      <c r="E192" s="82"/>
      <c r="F192" s="83"/>
      <c r="G192" s="84"/>
      <c r="H192" s="84"/>
    </row>
    <row r="193" spans="2:8" x14ac:dyDescent="0.35">
      <c r="B193" s="80"/>
      <c r="C193" s="81"/>
      <c r="D193" s="81"/>
      <c r="E193" s="82"/>
      <c r="F193" s="83"/>
      <c r="G193" s="84"/>
      <c r="H193" s="84"/>
    </row>
    <row r="194" spans="2:8" x14ac:dyDescent="0.35">
      <c r="B194" s="80"/>
      <c r="C194" s="81"/>
      <c r="D194" s="81"/>
      <c r="E194" s="82"/>
      <c r="F194" s="83"/>
      <c r="G194" s="84"/>
      <c r="H194" s="84"/>
    </row>
    <row r="195" spans="2:8" x14ac:dyDescent="0.35">
      <c r="B195" s="80"/>
      <c r="C195" s="81"/>
      <c r="D195" s="81"/>
      <c r="E195" s="82"/>
      <c r="F195" s="83"/>
      <c r="G195" s="84"/>
      <c r="H195" s="84"/>
    </row>
    <row r="196" spans="2:8" x14ac:dyDescent="0.35">
      <c r="B196" s="80"/>
      <c r="C196" s="81"/>
      <c r="D196" s="81"/>
      <c r="E196" s="82"/>
      <c r="F196" s="83"/>
      <c r="G196" s="84"/>
      <c r="H196" s="84"/>
    </row>
    <row r="197" spans="2:8" x14ac:dyDescent="0.35">
      <c r="B197" s="80"/>
      <c r="C197" s="81"/>
      <c r="D197" s="81"/>
      <c r="E197" s="82"/>
      <c r="F197" s="83"/>
      <c r="G197" s="84"/>
      <c r="H197" s="84"/>
    </row>
    <row r="198" spans="2:8" x14ac:dyDescent="0.35">
      <c r="B198" s="80"/>
      <c r="C198" s="81"/>
      <c r="D198" s="81"/>
      <c r="E198" s="82"/>
      <c r="F198" s="83"/>
      <c r="G198" s="84"/>
      <c r="H198" s="84"/>
    </row>
    <row r="199" spans="2:8" x14ac:dyDescent="0.35">
      <c r="B199" s="80"/>
      <c r="C199" s="81"/>
      <c r="D199" s="81"/>
      <c r="E199" s="82"/>
      <c r="F199" s="83"/>
      <c r="G199" s="84"/>
      <c r="H199" s="84"/>
    </row>
    <row r="200" spans="2:8" x14ac:dyDescent="0.35">
      <c r="B200" s="80"/>
      <c r="C200" s="81"/>
      <c r="D200" s="81"/>
      <c r="E200" s="82"/>
      <c r="F200" s="83"/>
      <c r="G200" s="84"/>
      <c r="H200" s="84"/>
    </row>
    <row r="201" spans="2:8" x14ac:dyDescent="0.35">
      <c r="B201" s="80"/>
      <c r="C201" s="81"/>
      <c r="D201" s="81"/>
      <c r="E201" s="82"/>
      <c r="F201" s="83"/>
      <c r="G201" s="84"/>
      <c r="H201" s="84"/>
    </row>
    <row r="202" spans="2:8" x14ac:dyDescent="0.35">
      <c r="B202" s="80"/>
      <c r="C202" s="81"/>
      <c r="D202" s="81"/>
      <c r="E202" s="82"/>
      <c r="F202" s="83"/>
      <c r="G202" s="84"/>
      <c r="H202" s="84"/>
    </row>
    <row r="203" spans="2:8" x14ac:dyDescent="0.35">
      <c r="B203" s="80"/>
      <c r="C203" s="81"/>
      <c r="D203" s="81"/>
      <c r="E203" s="82"/>
      <c r="F203" s="83"/>
      <c r="G203" s="84"/>
      <c r="H203" s="84"/>
    </row>
    <row r="204" spans="2:8" x14ac:dyDescent="0.35">
      <c r="B204" s="80"/>
      <c r="C204" s="81"/>
      <c r="D204" s="81"/>
      <c r="E204" s="82"/>
      <c r="F204" s="83"/>
      <c r="G204" s="84"/>
      <c r="H204" s="84"/>
    </row>
    <row r="205" spans="2:8" x14ac:dyDescent="0.35">
      <c r="B205" s="80"/>
      <c r="C205" s="81"/>
      <c r="D205" s="81"/>
      <c r="E205" s="82"/>
      <c r="F205" s="83"/>
      <c r="G205" s="84"/>
      <c r="H205" s="84"/>
    </row>
    <row r="206" spans="2:8" x14ac:dyDescent="0.35">
      <c r="B206" s="80"/>
      <c r="C206" s="81"/>
      <c r="D206" s="81"/>
      <c r="E206" s="82"/>
      <c r="F206" s="83"/>
      <c r="G206" s="84"/>
      <c r="H206" s="84"/>
    </row>
    <row r="207" spans="2:8" x14ac:dyDescent="0.35">
      <c r="B207" s="80"/>
      <c r="C207" s="81"/>
      <c r="D207" s="81"/>
      <c r="E207" s="82"/>
      <c r="F207" s="83"/>
      <c r="G207" s="84"/>
      <c r="H207" s="84"/>
    </row>
    <row r="208" spans="2:8" x14ac:dyDescent="0.35">
      <c r="B208" s="80"/>
      <c r="C208" s="81"/>
      <c r="D208" s="81"/>
      <c r="E208" s="82"/>
      <c r="F208" s="83"/>
      <c r="G208" s="84"/>
      <c r="H208" s="84"/>
    </row>
    <row r="209" spans="2:8" x14ac:dyDescent="0.35">
      <c r="B209" s="80"/>
      <c r="C209" s="81"/>
      <c r="D209" s="81"/>
      <c r="E209" s="82"/>
      <c r="F209" s="83"/>
      <c r="G209" s="84"/>
      <c r="H209" s="84"/>
    </row>
    <row r="210" spans="2:8" x14ac:dyDescent="0.35">
      <c r="B210" s="80"/>
      <c r="C210" s="81"/>
      <c r="D210" s="81"/>
      <c r="E210" s="82"/>
      <c r="F210" s="83"/>
      <c r="G210" s="84"/>
      <c r="H210" s="84"/>
    </row>
    <row r="211" spans="2:8" x14ac:dyDescent="0.35">
      <c r="B211" s="80"/>
      <c r="C211" s="81"/>
      <c r="D211" s="81"/>
      <c r="E211" s="82"/>
      <c r="F211" s="83"/>
      <c r="G211" s="84"/>
      <c r="H211" s="84"/>
    </row>
    <row r="212" spans="2:8" x14ac:dyDescent="0.35">
      <c r="B212" s="80"/>
      <c r="C212" s="81"/>
      <c r="D212" s="81"/>
      <c r="E212" s="82"/>
      <c r="F212" s="83"/>
      <c r="G212" s="84"/>
      <c r="H212" s="84"/>
    </row>
    <row r="213" spans="2:8" x14ac:dyDescent="0.35">
      <c r="B213" s="80"/>
      <c r="C213" s="81"/>
      <c r="D213" s="81"/>
      <c r="E213" s="82"/>
      <c r="F213" s="83"/>
      <c r="G213" s="84"/>
      <c r="H213" s="84"/>
    </row>
    <row r="214" spans="2:8" x14ac:dyDescent="0.35">
      <c r="B214" s="80"/>
      <c r="C214" s="81"/>
      <c r="D214" s="81"/>
      <c r="E214" s="82"/>
      <c r="F214" s="83"/>
      <c r="G214" s="84"/>
      <c r="H214" s="84"/>
    </row>
    <row r="215" spans="2:8" x14ac:dyDescent="0.35">
      <c r="B215" s="80"/>
      <c r="C215" s="81"/>
      <c r="D215" s="81"/>
      <c r="E215" s="82"/>
      <c r="F215" s="83"/>
      <c r="G215" s="84"/>
      <c r="H215" s="84"/>
    </row>
    <row r="216" spans="2:8" x14ac:dyDescent="0.35">
      <c r="B216" s="80"/>
      <c r="C216" s="81"/>
      <c r="D216" s="81"/>
      <c r="E216" s="82"/>
      <c r="F216" s="83"/>
      <c r="G216" s="84"/>
      <c r="H216" s="84"/>
    </row>
    <row r="217" spans="2:8" x14ac:dyDescent="0.35">
      <c r="B217" s="80"/>
      <c r="C217" s="81"/>
      <c r="D217" s="81"/>
      <c r="E217" s="82"/>
      <c r="F217" s="83"/>
      <c r="G217" s="84"/>
      <c r="H217" s="84"/>
    </row>
    <row r="218" spans="2:8" x14ac:dyDescent="0.35">
      <c r="B218" s="80"/>
      <c r="C218" s="81"/>
      <c r="D218" s="81"/>
      <c r="E218" s="82"/>
      <c r="F218" s="83"/>
      <c r="G218" s="84"/>
      <c r="H218" s="84"/>
    </row>
    <row r="219" spans="2:8" x14ac:dyDescent="0.35">
      <c r="B219" s="80"/>
      <c r="C219" s="81"/>
      <c r="D219" s="81"/>
      <c r="E219" s="82"/>
      <c r="F219" s="83"/>
      <c r="G219" s="84"/>
      <c r="H219" s="84"/>
    </row>
    <row r="220" spans="2:8" x14ac:dyDescent="0.35">
      <c r="B220" s="80"/>
      <c r="C220" s="81"/>
      <c r="D220" s="81"/>
      <c r="E220" s="82"/>
      <c r="F220" s="83"/>
      <c r="G220" s="84"/>
      <c r="H220" s="84"/>
    </row>
    <row r="221" spans="2:8" x14ac:dyDescent="0.35">
      <c r="B221" s="80"/>
      <c r="C221" s="81"/>
      <c r="D221" s="81"/>
      <c r="E221" s="82"/>
      <c r="F221" s="83"/>
      <c r="G221" s="84"/>
      <c r="H221" s="84"/>
    </row>
    <row r="222" spans="2:8" x14ac:dyDescent="0.35">
      <c r="B222" s="80"/>
      <c r="C222" s="81"/>
      <c r="D222" s="81"/>
      <c r="E222" s="82"/>
      <c r="F222" s="83"/>
      <c r="G222" s="84"/>
      <c r="H222" s="84"/>
    </row>
    <row r="223" spans="2:8" x14ac:dyDescent="0.35">
      <c r="B223" s="80"/>
      <c r="C223" s="81"/>
      <c r="D223" s="81"/>
      <c r="E223" s="82"/>
      <c r="F223" s="83"/>
      <c r="G223" s="84"/>
      <c r="H223" s="84"/>
    </row>
    <row r="224" spans="2:8" x14ac:dyDescent="0.35">
      <c r="B224" s="80"/>
      <c r="C224" s="81"/>
      <c r="D224" s="81"/>
      <c r="E224" s="82"/>
      <c r="F224" s="83"/>
      <c r="G224" s="84"/>
      <c r="H224" s="84"/>
    </row>
    <row r="225" spans="2:8" x14ac:dyDescent="0.35">
      <c r="B225" s="80"/>
      <c r="C225" s="81"/>
      <c r="D225" s="81"/>
      <c r="E225" s="82"/>
      <c r="F225" s="83"/>
      <c r="G225" s="84"/>
      <c r="H225" s="84"/>
    </row>
    <row r="226" spans="2:8" x14ac:dyDescent="0.35">
      <c r="B226" s="80"/>
      <c r="C226" s="81"/>
      <c r="D226" s="81"/>
      <c r="E226" s="82"/>
      <c r="F226" s="83"/>
      <c r="G226" s="84"/>
      <c r="H226" s="84"/>
    </row>
    <row r="227" spans="2:8" x14ac:dyDescent="0.35">
      <c r="B227" s="80"/>
      <c r="C227" s="81"/>
      <c r="D227" s="81"/>
      <c r="E227" s="82"/>
      <c r="F227" s="83"/>
      <c r="G227" s="84"/>
      <c r="H227" s="84"/>
    </row>
    <row r="228" spans="2:8" x14ac:dyDescent="0.35">
      <c r="B228" s="80"/>
      <c r="C228" s="81"/>
      <c r="D228" s="81"/>
      <c r="E228" s="82"/>
      <c r="F228" s="83"/>
      <c r="G228" s="84"/>
      <c r="H228" s="84"/>
    </row>
    <row r="229" spans="2:8" x14ac:dyDescent="0.35">
      <c r="B229" s="80"/>
      <c r="C229" s="81"/>
      <c r="D229" s="81"/>
      <c r="E229" s="82"/>
      <c r="F229" s="83"/>
      <c r="G229" s="84"/>
      <c r="H229" s="84"/>
    </row>
    <row r="230" spans="2:8" x14ac:dyDescent="0.35">
      <c r="B230" s="80"/>
      <c r="C230" s="81"/>
      <c r="D230" s="81"/>
      <c r="E230" s="82"/>
      <c r="F230" s="83"/>
      <c r="G230" s="84"/>
      <c r="H230" s="84"/>
    </row>
    <row r="231" spans="2:8" x14ac:dyDescent="0.35">
      <c r="B231" s="80"/>
      <c r="C231" s="81"/>
      <c r="D231" s="81"/>
      <c r="E231" s="82"/>
      <c r="F231" s="83"/>
      <c r="G231" s="84"/>
      <c r="H231" s="84"/>
    </row>
    <row r="232" spans="2:8" x14ac:dyDescent="0.35">
      <c r="B232" s="80"/>
      <c r="C232" s="81"/>
      <c r="D232" s="81"/>
      <c r="E232" s="82"/>
      <c r="F232" s="83"/>
      <c r="G232" s="84"/>
      <c r="H232" s="84"/>
    </row>
    <row r="233" spans="2:8" x14ac:dyDescent="0.35">
      <c r="B233" s="80"/>
      <c r="C233" s="81"/>
      <c r="D233" s="81"/>
      <c r="E233" s="82"/>
      <c r="F233" s="83"/>
      <c r="G233" s="84"/>
      <c r="H233" s="84"/>
    </row>
    <row r="234" spans="2:8" x14ac:dyDescent="0.35">
      <c r="B234" s="80"/>
      <c r="C234" s="81"/>
      <c r="D234" s="81"/>
      <c r="E234" s="82"/>
      <c r="F234" s="83"/>
      <c r="G234" s="84"/>
      <c r="H234" s="84"/>
    </row>
    <row r="235" spans="2:8" x14ac:dyDescent="0.35">
      <c r="B235" s="80"/>
      <c r="C235" s="81"/>
      <c r="D235" s="81"/>
      <c r="E235" s="82"/>
      <c r="F235" s="83"/>
      <c r="G235" s="84"/>
      <c r="H235" s="84"/>
    </row>
    <row r="236" spans="2:8" x14ac:dyDescent="0.35">
      <c r="B236" s="80"/>
      <c r="C236" s="81"/>
      <c r="D236" s="81"/>
      <c r="E236" s="82"/>
      <c r="F236" s="83"/>
      <c r="G236" s="84"/>
      <c r="H236" s="84"/>
    </row>
    <row r="237" spans="2:8" x14ac:dyDescent="0.35">
      <c r="B237" s="80"/>
      <c r="C237" s="81"/>
      <c r="D237" s="81"/>
      <c r="E237" s="82"/>
      <c r="F237" s="83"/>
      <c r="G237" s="84"/>
      <c r="H237" s="84"/>
    </row>
    <row r="238" spans="2:8" x14ac:dyDescent="0.35">
      <c r="B238" s="80"/>
      <c r="C238" s="81"/>
      <c r="D238" s="81"/>
      <c r="E238" s="82"/>
      <c r="F238" s="83"/>
      <c r="G238" s="84"/>
      <c r="H238" s="84"/>
    </row>
    <row r="239" spans="2:8" x14ac:dyDescent="0.35">
      <c r="B239" s="80"/>
      <c r="C239" s="81"/>
      <c r="D239" s="81"/>
      <c r="E239" s="82"/>
      <c r="F239" s="83"/>
      <c r="G239" s="84"/>
      <c r="H239" s="84"/>
    </row>
    <row r="240" spans="2:8" x14ac:dyDescent="0.35">
      <c r="B240" s="80"/>
      <c r="C240" s="81"/>
      <c r="D240" s="81"/>
      <c r="E240" s="82"/>
      <c r="F240" s="83"/>
      <c r="G240" s="84"/>
      <c r="H240" s="84"/>
    </row>
    <row r="241" spans="2:8" x14ac:dyDescent="0.35">
      <c r="B241" s="80"/>
      <c r="C241" s="81"/>
      <c r="D241" s="81"/>
      <c r="E241" s="82"/>
      <c r="F241" s="83"/>
      <c r="G241" s="84"/>
      <c r="H241" s="84"/>
    </row>
    <row r="242" spans="2:8" x14ac:dyDescent="0.35">
      <c r="B242" s="80"/>
      <c r="C242" s="81"/>
      <c r="D242" s="81"/>
      <c r="E242" s="82"/>
      <c r="F242" s="83"/>
      <c r="G242" s="84"/>
      <c r="H242" s="84"/>
    </row>
    <row r="243" spans="2:8" x14ac:dyDescent="0.35">
      <c r="B243" s="80"/>
      <c r="C243" s="81"/>
      <c r="D243" s="81"/>
      <c r="E243" s="82"/>
      <c r="F243" s="83"/>
      <c r="G243" s="84"/>
      <c r="H243" s="84"/>
    </row>
    <row r="244" spans="2:8" x14ac:dyDescent="0.35">
      <c r="B244" s="80"/>
      <c r="C244" s="81"/>
      <c r="D244" s="81"/>
      <c r="E244" s="82"/>
      <c r="F244" s="83"/>
      <c r="G244" s="84"/>
      <c r="H244" s="84"/>
    </row>
    <row r="245" spans="2:8" x14ac:dyDescent="0.35">
      <c r="B245" s="80"/>
      <c r="C245" s="81"/>
      <c r="D245" s="81"/>
      <c r="E245" s="82"/>
      <c r="F245" s="83"/>
      <c r="G245" s="84"/>
      <c r="H245" s="84"/>
    </row>
    <row r="246" spans="2:8" x14ac:dyDescent="0.35">
      <c r="B246" s="80"/>
      <c r="C246" s="81"/>
      <c r="D246" s="81"/>
      <c r="E246" s="82"/>
      <c r="F246" s="83"/>
      <c r="G246" s="84"/>
      <c r="H246" s="84"/>
    </row>
    <row r="247" spans="2:8" x14ac:dyDescent="0.35">
      <c r="B247" s="80"/>
      <c r="C247" s="81"/>
      <c r="D247" s="81"/>
      <c r="E247" s="82"/>
      <c r="F247" s="83"/>
      <c r="G247" s="84"/>
      <c r="H247" s="84"/>
    </row>
  </sheetData>
  <sheetProtection formatCells="0" formatColumns="0" formatRows="0" insertRows="0" deleteRows="0" sort="0" autoFilter="0"/>
  <autoFilter ref="A1:F272" xr:uid="{8EF375C2-E505-4E41-A3B2-8A8970A0F3ED}"/>
  <conditionalFormatting sqref="A1:H4">
    <cfRule type="expression" dxfId="1"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32A15-6E23-4691-87C0-AE35B90D669C}">
  <dimension ref="A1:AC2"/>
  <sheetViews>
    <sheetView workbookViewId="0">
      <selection activeCell="C168" sqref="C168"/>
    </sheetView>
  </sheetViews>
  <sheetFormatPr defaultRowHeight="14.5" x14ac:dyDescent="0.35"/>
  <cols>
    <col min="1" max="1" width="8.7265625" style="25" customWidth="1"/>
    <col min="2" max="2" width="11.6328125" style="52" customWidth="1"/>
    <col min="3" max="3" width="6.26953125" style="25" customWidth="1"/>
    <col min="4" max="6" width="8.7265625" style="25"/>
    <col min="7" max="7" width="10.08984375" style="52" bestFit="1" customWidth="1"/>
    <col min="8" max="8" width="12.453125" style="26" bestFit="1" customWidth="1"/>
    <col min="9" max="9" width="11.81640625" style="25" bestFit="1" customWidth="1"/>
    <col min="10" max="10" width="11.26953125" style="25" customWidth="1"/>
    <col min="11" max="11" width="8.90625" style="25" customWidth="1"/>
    <col min="12" max="12" width="8.7265625" style="25"/>
    <col min="13" max="13" width="10.08984375" style="52" bestFit="1" customWidth="1"/>
    <col min="14" max="15" width="8.7265625" style="25"/>
    <col min="16" max="16" width="10.54296875" style="25" customWidth="1"/>
    <col min="17" max="17" width="8.7265625" style="25"/>
    <col min="18" max="18" width="10.08984375" style="52" bestFit="1" customWidth="1"/>
    <col min="19" max="19" width="11.7265625" style="25" customWidth="1"/>
    <col min="20" max="25" width="8.7265625" style="25"/>
    <col min="26" max="26" width="10.26953125" style="25" customWidth="1"/>
    <col min="27" max="28" width="8.7265625" style="25"/>
    <col min="29" max="29" width="11.453125" style="25" customWidth="1"/>
    <col min="30" max="16384" width="8.7265625" style="25"/>
  </cols>
  <sheetData>
    <row r="1" spans="1:29" s="85" customFormat="1" ht="29" x14ac:dyDescent="0.35">
      <c r="A1" s="85" t="s">
        <v>153</v>
      </c>
      <c r="B1" s="86" t="s">
        <v>3</v>
      </c>
      <c r="C1" s="85" t="s">
        <v>12</v>
      </c>
      <c r="D1" s="85" t="s">
        <v>8</v>
      </c>
      <c r="E1" s="85" t="s">
        <v>13</v>
      </c>
      <c r="F1" s="85" t="s">
        <v>9</v>
      </c>
      <c r="G1" s="86" t="s">
        <v>17</v>
      </c>
      <c r="H1" s="87" t="s">
        <v>15</v>
      </c>
      <c r="I1" s="85" t="s">
        <v>14</v>
      </c>
      <c r="J1" s="88" t="s">
        <v>154</v>
      </c>
      <c r="K1" s="89" t="s">
        <v>153</v>
      </c>
      <c r="L1" s="90" t="s">
        <v>13</v>
      </c>
      <c r="M1" s="91" t="s">
        <v>16</v>
      </c>
      <c r="N1" s="90" t="s">
        <v>8</v>
      </c>
      <c r="O1" s="90" t="s">
        <v>9</v>
      </c>
      <c r="P1" s="90" t="s">
        <v>15</v>
      </c>
      <c r="Q1" s="90" t="s">
        <v>10</v>
      </c>
      <c r="R1" s="91" t="s">
        <v>17</v>
      </c>
      <c r="S1" s="90" t="s">
        <v>18</v>
      </c>
      <c r="T1" s="92" t="s">
        <v>155</v>
      </c>
      <c r="U1" s="93" t="s">
        <v>153</v>
      </c>
      <c r="V1" s="94" t="s">
        <v>13</v>
      </c>
      <c r="W1" s="95" t="s">
        <v>23</v>
      </c>
      <c r="X1" s="94" t="s">
        <v>8</v>
      </c>
      <c r="Y1" s="94" t="s">
        <v>9</v>
      </c>
      <c r="Z1" s="94" t="s">
        <v>15</v>
      </c>
      <c r="AA1" s="94" t="s">
        <v>11</v>
      </c>
      <c r="AB1" s="95" t="s">
        <v>17</v>
      </c>
      <c r="AC1" s="94" t="s">
        <v>19</v>
      </c>
    </row>
    <row r="2" spans="1:29" x14ac:dyDescent="0.35">
      <c r="A2" s="1" t="e" cm="1" vm="1">
        <f t="array" ref="A2">_xlfn.LET(_xlpm.thd,'Transaction History'!$C$2:$C$100000,_xlpm.thm,((LEFT(TRIM(_xlpm.thd),1)="B")+(LEFT(TRIM(_xlpm.thd),1)="S"))*NOT(ISNUMBER(SEARCH("transfer",_xlpm.thd)))*NOT(ISNUMBER(SEARCH("tsfer",_xlpm.thd))),_xlpm.th,_xlfn._xlws.FILTER('Transaction History'!$A$2:$A$100000,_xlpm.thm),_xlpm.aq,'Cost Base Adjustments'!$D$5:$D$30,_xlpm.atk,'Cost Base Adjustments'!$B$5:$B$30,_xlpm.am,ISNUMBER(_xlpm.aq)*(_xlpm.aq&lt;&gt;0)*(_xlpm.atk&lt;&gt;""),_xlpm.n,SUM(_xlpm.am),IF(_xlpm.n=0,_xlpm.th,_xlfn.VSTACK(_xlpm.th,_xlfn._xlws.FILTER('Cost Base Adjustments'!$A$5:$A$30,_xlpm.am,""))))</f>
        <v>#VALUE!</v>
      </c>
      <c r="B2" s="7" t="e" cm="1" vm="1">
        <f t="array" ref="B2">_xlfn.LET(_xlpm.thd,'Transaction History'!$C$2:$C$100000,_xlpm.thm,((LEFT(TRIM(_xlpm.thd),1)="B")+(LEFT(TRIM(_xlpm.thd),1)="S"))*NOT(ISNUMBER(SEARCH("transfer",_xlpm.thd)))*NOT(ISNUMBER(SEARCH("tsfer",_xlpm.thd))),_xlpm.th,_xlfn._xlws.FILTER('Transaction History'!$B$2:$B$100000,_xlpm.thm),_xlpm.aq,'Cost Base Adjustments'!$D$5:$D$30,_xlpm.atk,'Cost Base Adjustments'!$B$5:$B$30,_xlpm.am,ISNUMBER(_xlpm.aq)*(_xlpm.aq&lt;&gt;0)*(_xlpm.atk&lt;&gt;""),_xlpm.n,SUM(_xlpm.am),IF(_xlpm.n=0,_xlpm.th,_xlfn.VSTACK(_xlpm.th,_xlfn._xlws.FILTER('Cost Base Adjustments'!$C$5:$C$30,_xlpm.am,""))))</f>
        <v>#VALUE!</v>
      </c>
      <c r="C2" s="1" t="e" cm="1" vm="1">
        <f t="array" ref="C2">_xlfn.LET(_xlpm.thd,'Transaction History'!$C$2:$C$100000,_xlpm.thm,((LEFT(TRIM(_xlpm.thd),1)="B")+(LEFT(TRIM(_xlpm.thd),1)="S"))*NOT(ISNUMBER(SEARCH("transfer",_xlpm.thd)))*NOT(ISNUMBER(SEARCH("tsfer",_xlpm.thd))),_xlpm.th,LEFT(TRIM(_xlfn._xlws.FILTER(_xlpm.thd,_xlpm.thm)),1),_xlpm.aq,'Cost Base Adjustments'!$D$5:$D$30,_xlpm.atk,'Cost Base Adjustments'!$B$5:$B$30,_xlpm.am,ISNUMBER(_xlpm.aq)*(_xlpm.aq&lt;&gt;0)*(_xlpm.atk&lt;&gt;""),_xlpm.n,SUM(_xlpm.am),_xlpm.adj,IF(_xlfn._xlws.FILTER(_xlpm.aq,_xlpm.am,0)&gt;0,"B","S"),IF(_xlpm.n=0,_xlpm.th,_xlfn.VSTACK(_xlpm.th,_xlpm.adj)))</f>
        <v>#VALUE!</v>
      </c>
      <c r="D2" s="1" t="e" cm="1" vm="1">
        <f t="array" ref="D2">_xlfn.LET(_xlpm.thd,'Transaction History'!$C$2:$C$100000,_xlpm.thm,((LEFT(TRIM(_xlpm.thd),1)="B")+(LEFT(TRIM(_xlpm.thd),1)="S"))*NOT(ISNUMBER(SEARCH("transfer",_xlpm.thd)))*NOT(ISNUMBER(SEARCH("tsfer",_xlpm.thd))),_xlpm.th,_xlfn._xlws.FILTER('Transaction History'!$E$2:$E$100000,_xlpm.thm),_xlpm.aq,'Cost Base Adjustments'!$D$5:$D$30,_xlpm.atk,'Cost Base Adjustments'!$B$5:$B$30,_xlpm.am,ISNUMBER(_xlpm.aq)*(_xlpm.aq&lt;&gt;0)*(_xlpm.atk&lt;&gt;""),_xlpm.n,SUM(_xlpm.am),_xlpm.adj,ABS(_xlfn._xlws.FILTER(_xlpm.aq,_xlpm.am,0)),IF(_xlpm.n=0,_xlpm.th,_xlfn.VSTACK(_xlpm.th,_xlpm.adj)))</f>
        <v>#VALUE!</v>
      </c>
      <c r="E2" s="1" t="e" cm="1" vm="1">
        <f t="array" ref="E2">_xlfn.LET(_xlpm.thd,'Transaction History'!$C$2:$C$100000,_xlpm.thm,((LEFT(TRIM(_xlpm.thd),1)="B")+(LEFT(TRIM(_xlpm.thd),1)="S"))*NOT(ISNUMBER(SEARCH("transfer",_xlpm.thd)))*NOT(ISNUMBER(SEARCH("tsfer",_xlpm.thd))),_xlpm.th,_xlfn._xlws.FILTER('Transaction History'!$D$2:$D$100000,_xlpm.thm),_xlpm.aq,'Cost Base Adjustments'!$D$5:$D$30,_xlpm.atk,'Cost Base Adjustments'!$B$5:$B$30,_xlpm.am,ISNUMBER(_xlpm.aq)*(_xlpm.aq&lt;&gt;0)*(_xlpm.atk&lt;&gt;""),_xlpm.n,SUM(_xlpm.am),_xlpm.adj,_xlfn._xlws.FILTER(_xlpm.atk,_xlpm.am,""),IF(_xlpm.n=0,_xlpm.th,_xlfn.VSTACK(_xlpm.th,_xlpm.adj)))</f>
        <v>#VALUE!</v>
      </c>
      <c r="F2" s="1" t="e" cm="1" vm="1">
        <f t="array" ref="F2">_xlfn.LET(_xlpm.thd,'Transaction History'!$C$2:$C$100000,_xlpm.thm,((LEFT(TRIM(_xlpm.thd),1)="B")+(LEFT(TRIM(_xlpm.thd),1)="S"))*NOT(ISNUMBER(SEARCH("transfer",_xlpm.thd)))*NOT(ISNUMBER(SEARCH("tsfer",_xlpm.thd))),_xlpm.th,_xlfn._xlws.FILTER('Transaction History'!$F$2:$F$100000,_xlpm.thm),_xlpm.aq,'Cost Base Adjustments'!$D$5:$D$30,_xlpm.atk,'Cost Base Adjustments'!$B$5:$B$30,_xlpm.am,ISNUMBER(_xlpm.aq)*(_xlpm.aq&lt;&gt;0)*(_xlpm.atk&lt;&gt;""),_xlpm.n,SUM(_xlpm.am),_xlpm.adj,_xlfn._xlws.FILTER('Cost Base Adjustments'!$E$5:$E$30,_xlpm.am,0),IF(_xlpm.n=0,_xlpm.th,_xlfn.VSTACK(_xlpm.th,_xlpm.adj)))</f>
        <v>#VALUE!</v>
      </c>
      <c r="G2" s="7" t="e" cm="1" vm="2">
        <f t="array" ref="G2">_xlfn.ANCHORARRAY(B2)+(_xlfn.SEQUENCE(ROWS(_xlfn.ANCHORARRAY(B2)))/1000000)</f>
        <v>#VALUE!</v>
      </c>
      <c r="H2" s="8" t="e" cm="1" vm="2">
        <f t="array" ref="H2">_xlfn.LET(
  _xlpm.side, C2:INDEX(C2:C100000,ROWS(_xlfn.ANCHORARRAY(B2))),
  _xlpm.qty, D2:INDEX(D2:D100000,ROWS(_xlfn.ANCHORARRAY(B2))),
  _xlpm.prc, F2:INDEX(F2:F100000,ROWS(_xlfn.ANCHORARRAY(B2))),
  _xlpm.tot, I2:INDEX(I2:I100000,ROWS(_xlfn.ANCHORARRAY(B2))),
  IF(_xlpm.side="S", _xlpm.qty*_xlpm.prc-_xlpm.tot, _xlpm.tot-_xlpm.qty*_xlpm.prc)
)</f>
        <v>#VALUE!</v>
      </c>
      <c r="I2" s="1" t="e" cm="1" vm="1">
        <f t="array" ref="I2">_xlfn.LET(_xlpm.thd,'Transaction History'!$C$2:$C$100000,_xlpm.thm,((LEFT(TRIM(_xlpm.thd),1)="B")+(LEFT(TRIM(_xlpm.thd),1)="S"))*NOT(ISNUMBER(SEARCH("transfer",_xlpm.thd)))*NOT(ISNUMBER(SEARCH("tsfer",_xlpm.thd))),_xlpm.th,_xlfn._xlws.FILTER('Transaction History'!$H$2:$H$100000,_xlpm.thm),_xlpm.aq,'Cost Base Adjustments'!$D$5:$D$30,_xlpm.atk,'Cost Base Adjustments'!$B$5:$B$30,_xlpm.am,ISNUMBER(_xlpm.aq)*(_xlpm.aq&lt;&gt;0)*(_xlpm.atk&lt;&gt;""),_xlpm.n,SUM(_xlpm.am),_xlpm.q,_xlfn._xlws.FILTER(_xlpm.aq,_xlpm.am,0),_xlpm.p,_xlfn._xlws.FILTER('Cost Base Adjustments'!$E$5:$E$30,_xlpm.am,0),_xlpm.b,_xlfn._xlws.FILTER('Cost Base Adjustments'!$F$5:$F$30,_xlpm.am,0),_xlpm.adj,ABS(_xlpm.q)*_xlpm.p+_xlpm.b*IF(_xlpm.q&gt;0,1,-1),IF(_xlpm.n=0,_xlpm.th,_xlfn.VSTACK(_xlpm.th,_xlpm.adj)))</f>
        <v>#VALUE!</v>
      </c>
      <c r="K2" s="1" t="e" cm="1">
        <f t="array" ref="K2">_xlfn.LET(
  _xlpm.side, $C$2:INDEX($C$2:$C$100000,ROWS(_xlfn.ANCHORARRAY($B$2))),
  _xlpm.acct, $A$2:INDEX($A$2:$A$100000,ROWS(_xlfn.ANCHORARRAY($B$2))),
  _xlpm.tkr, $E$2:INDEX($E$2:$E$100000,ROWS(_xlfn.ANCHORARRAY($B$2))),
  _xlpm.dt, $B$2:INDEX($B$2:$B$100000,ROWS(_xlfn.ANCHORARRAY($B$2))),
  _xlpm.qty, $D$2:INDEX($D$2:$D$100000,ROWS(_xlfn.ANCHORARRAY($B$2))),
  _xlpm.prc, $F$2:INDEX($F$2:$F$100000,ROWS(_xlfn.ANCHORARRAY($B$2))),
  _xlpm.brok, $H$2:INDEX($H$2:$H$100000,ROWS(_xlfn.ANCHORARRAY($B$2))),
  _xlpm.tot, $I$2:INDEX($I$2:$I$100000,ROWS(_xlfn.ANCHORARRAY($B$2))),
  _xlpm.sk, $G$2:INDEX($G$2:$G$100000,ROWS(_xlfn.ANCHORARRAY($B$2))),
  _xlpm.buyArr, IFERROR(_xlfn._xlws.SORT(_xlfn._xlws.FILTER(_xlfn.HSTACK(_xlpm.acct,_xlpm.tkr,_xlpm.dt,_xlpm.qty,_xlpm.prc,_xlpm.brok,_xlpm.tot,_xlpm.sk), _xlpm.side="B"), 8), ""),
  _xlpm.bAcct, _xlfn.CHOOSECOLS(_xlpm.buyArr,1),
  _xlpm.bTkr, _xlfn.CHOOSECOLS(_xlpm.buyArr,2),
  _xlpm.bDate, _xlfn.CHOOSECOLS(_xlpm.buyArr,3),
  _xlpm.bQty0, _xlfn.CHOOSECOLS(_xlpm.buyArr,4),
  _xlpm.bPrc0, _xlfn.CHOOSECOLS(_xlpm.buyArr,5),
  _xlpm.rT, 'Cost Base Adjustments'!$A$47:$A$66,
  _xlpm.rD, 'Cost Base Adjustments'!$B$47:$B$66,
  _xlpm.rR, 'Cost Base Adjustments'!$C$47:$C$66,
  _xlpm.rm, (_xlpm.rT&lt;&gt;"")*ISNUMBER(_xlpm.rR)*ISNUMBER(_xlpm.rD),
  _xlpm.factor, _xlfn.MAP(_xlpm.bTkr, _xlpm.bDate, _xlfn.LAMBDA(_xlpm.t,_xlpm.d, PRODUCT(IF((_xlpm.rT=_xlpm.t)*(_xlpm.rD&gt;=_xlpm.d)*_xlpm.rm=1, _xlpm.rR, 1)))),
  _xlpm.bQty, _xlpm.bQty0*_xlpm.factor,
  _xlpm.bPrc, _xlpm.bPrc0/_xlpm.factor,
  _xlpm.bSK, _xlfn.CHOOSECOLS(_xlpm.buyArr,8),
  _xlpm.cumQty, _xlfn.MAP(_xlpm.bAcct, _xlpm.bTkr, _xlpm.bSK, _xlfn.LAMBDA(_xlpm.a,_xlpm.t,_xlpm.s, SUMPRODUCT((_xlpm.bAcct=_xlpm.a)*(_xlpm.bTkr=_xlpm.t)*(_xlpm.bSK&lt;=_xlpm.s)*_xlpm.bQty))),
  _xlfn.HSTACK(_xlpm.bAcct, _xlpm.bTkr, _xlpm.bDate, _xlpm.bQty, _xlpm.bPrc, _xlfn.CHOOSECOLS(_xlpm.buyArr,6), _xlfn.CHOOSECOLS(_xlpm.buyArr,7), _xlpm.bSK, _xlpm.cumQty)
)</f>
        <v>#VALUE!</v>
      </c>
      <c r="U2" s="1" t="e" cm="1">
        <f t="array" ref="U2">_xlfn.LET(
  _xlpm.side, $C$2:INDEX($C$2:$C$100000,ROWS(_xlfn.ANCHORARRAY($B$2))),
  _xlpm.acct, $A$2:INDEX($A$2:$A$100000,ROWS(_xlfn.ANCHORARRAY($B$2))),
  _xlpm.tkr, $E$2:INDEX($E$2:$E$100000,ROWS(_xlfn.ANCHORARRAY($B$2))),
  _xlpm.dt, $B$2:INDEX($B$2:$B$100000,ROWS(_xlfn.ANCHORARRAY($B$2))),
  _xlpm.qty, $D$2:INDEX($D$2:$D$100000,ROWS(_xlfn.ANCHORARRAY($B$2))),
  _xlpm.prc, $F$2:INDEX($F$2:$F$100000,ROWS(_xlfn.ANCHORARRAY($B$2))),
  _xlpm.brok, $H$2:INDEX($H$2:$H$100000,ROWS(_xlfn.ANCHORARRAY($B$2))),
  _xlpm.tot, $I$2:INDEX($I$2:$I$100000,ROWS(_xlfn.ANCHORARRAY($B$2))),
  _xlpm.sk, $G$2:INDEX($G$2:$G$100000,ROWS(_xlfn.ANCHORARRAY($B$2))),
  _xlpm.sellArr, IFERROR(_xlfn._xlws.SORT(_xlfn._xlws.FILTER(_xlfn.HSTACK(_xlpm.acct,_xlpm.tkr,_xlpm.dt,_xlpm.qty,_xlpm.prc,_xlpm.brok,_xlpm.tot,_xlpm.sk), _xlpm.side="S"), 8), ""),
  _xlpm.sAcct, _xlfn.CHOOSECOLS(_xlpm.sellArr,1),
  _xlpm.sTkr, _xlfn.CHOOSECOLS(_xlpm.sellArr,2),
  _xlpm.sQty, _xlfn.CHOOSECOLS(_xlpm.sellArr,4),
  _xlpm.sSK, _xlfn.CHOOSECOLS(_xlpm.sellArr,8),
  _xlpm.cumQty, _xlfn.MAP(_xlpm.sAcct, _xlpm.sTkr, _xlpm.sSK, _xlfn.LAMBDA(_xlpm.a,_xlpm.t,_xlpm.s, SUMPRODUCT((_xlpm.sAcct=_xlpm.a)*(_xlpm.sTkr=_xlpm.t)*(_xlpm.sSK&lt;=_xlpm.s)*_xlpm.sQty))),
  _xlfn.HSTACK(_xlpm.sellArr, _xlpm.cumQty)
)</f>
        <v>#VALUE!</v>
      </c>
    </row>
  </sheetData>
  <sheetProtection formatCells="0" formatColumns="0" formatRows="0" insertRows="0" deleteRows="0" sort="0" autoFilter="0"/>
  <conditionalFormatting sqref="A1:AC2">
    <cfRule type="expression" dxfId="11" priority="1">
      <formula>AND(ISERROR(A1),NoTradeData)</formula>
    </cfRule>
  </conditionalFormatting>
  <pageMargins left="0.7" right="0.7" top="0.75" bottom="0.75" header="0.3" footer="0.3"/>
  <pageSetup orientation="portrait" r:id="rId1"/>
  <headerFooter>
    <oddFooter>&amp;C© 2026 MAB · CGT Calculator · Licensed under CC BY-NC-SA 4.0 (creativecommons.org/licenses/by-nc-sa/4.0)</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48C4-FBB4-4F48-ACDE-5FD64E75C3CA}">
  <dimension ref="A1:O125"/>
  <sheetViews>
    <sheetView workbookViewId="0">
      <selection activeCell="C168" sqref="C168"/>
    </sheetView>
  </sheetViews>
  <sheetFormatPr defaultRowHeight="14.5" x14ac:dyDescent="0.35"/>
  <cols>
    <col min="1" max="1" width="8.81640625" style="25" customWidth="1"/>
    <col min="2" max="2" width="10.08984375" style="25" bestFit="1" customWidth="1"/>
    <col min="3" max="3" width="17.7265625" style="25" bestFit="1" customWidth="1"/>
    <col min="4" max="5" width="12.453125" style="25" bestFit="1" customWidth="1"/>
    <col min="6" max="6" width="10.08984375" style="25" bestFit="1" customWidth="1"/>
    <col min="7" max="7" width="11.26953125" style="25" bestFit="1" customWidth="1"/>
    <col min="8" max="8" width="13.08984375" style="25" bestFit="1" customWidth="1"/>
    <col min="9" max="9" width="17.54296875" style="26" bestFit="1" customWidth="1"/>
    <col min="10" max="10" width="17" style="26" bestFit="1" customWidth="1"/>
    <col min="11" max="11" width="17.453125" style="26" bestFit="1" customWidth="1"/>
    <col min="12" max="12" width="10.453125" style="26" bestFit="1" customWidth="1"/>
    <col min="13" max="13" width="11.7265625" style="25" bestFit="1" customWidth="1"/>
    <col min="14" max="14" width="12.453125" style="25" bestFit="1" customWidth="1"/>
    <col min="15" max="16384" width="8.7265625" style="25"/>
  </cols>
  <sheetData>
    <row r="1" spans="1:15" x14ac:dyDescent="0.35">
      <c r="A1" s="51" t="s">
        <v>153</v>
      </c>
      <c r="B1" s="51" t="s">
        <v>13</v>
      </c>
      <c r="C1" s="51" t="s">
        <v>16</v>
      </c>
      <c r="D1" s="51" t="s">
        <v>20</v>
      </c>
      <c r="E1" s="51" t="s">
        <v>21</v>
      </c>
      <c r="F1" s="51" t="s">
        <v>22</v>
      </c>
      <c r="G1" s="51" t="s">
        <v>23</v>
      </c>
      <c r="H1" s="51" t="s">
        <v>24</v>
      </c>
      <c r="I1" s="96" t="s">
        <v>25</v>
      </c>
      <c r="J1" s="96" t="s">
        <v>26</v>
      </c>
      <c r="K1" s="96" t="s">
        <v>27</v>
      </c>
      <c r="L1" s="96" t="s">
        <v>28</v>
      </c>
      <c r="M1" s="51" t="s">
        <v>29</v>
      </c>
      <c r="N1" s="51" t="s">
        <v>30</v>
      </c>
      <c r="O1" s="96" t="s">
        <v>31</v>
      </c>
    </row>
    <row r="2" spans="1:15" x14ac:dyDescent="0.35">
      <c r="A2" s="1" t="e" cm="1">
        <f t="array" ref="A2">_xlfn.LET(_xlpm.buy,_xlfn.ANCHORARRAY(Parsed!$K$2),_xlpm.sell,_xlfn.ANCHORARRAY(Parsed!$U$2),_xlpm.bAcct,_xlfn.CHOOSECOLS(_xlpm.buy,1),_xlpm.bTkr,_xlfn.CHOOSECOLS(_xlpm.buy,2),_xlpm.bDate,_xlfn.CHOOSECOLS(_xlpm.buy,3),_xlpm.bQty,_xlfn.CHOOSECOLS(_xlpm.buy,4),_xlpm.bPrice,_xlfn.CHOOSECOLS(_xlpm.buy,5),_xlpm.bCostB,_xlfn.CHOOSECOLS(_xlpm.buy,7),_xlpm.bCum,_xlfn.CHOOSECOLS(_xlpm.buy,9),_xlpm.sAcct,_xlfn.CHOOSECOLS(_xlpm.sell,1),_xlpm.sTkr,_xlfn.CHOOSECOLS(_xlpm.sell,2),_xlpm.sDate,_xlfn.CHOOSECOLS(_xlpm.sell,3),_xlpm.sQty,_xlfn.CHOOSECOLS(_xlpm.sell,4),_xlpm.sPrice,_xlfn.CHOOSECOLS(_xlpm.sell,5),_xlpm.sBrok,_xlfn.CHOOSECOLS(_xlpm.sell,6),_xlpm.sCum,_xlfn.CHOOSECOLS(_xlpm.sell,9),_xlpm.rpAcct,'Cost Base Adjustments'!$A$72:$A$90,_xlpm.rpTkr,'Cost Base Adjustments'!$B$72:$B$90,_xlpm.rpEff,'Cost Base Adjustments'!$C$72:$C$90,_xlpm.rpFac,'Cost Base Adjustments'!$D$72:$D$90,_xlpm.rpm,(_xlpm.rpTkr&lt;&gt;"")*ISNUMBER(_xlpm.rpEff)*ISNUMBER(_xlpm.rpFac),_xlpm.n,ROWS(_xlpm.bTkr),_xlpm.m,ROWS(_xlpm.sTkr),_xlpm.idx,_xlfn.SEQUENCE(_xlpm.n*_xlpm.m),_xlpm.bi,INT((_xlpm.idx-1)/_xlpm.m)+1,_xlpm.si,MOD(_xlpm.idx-1,_xlpm.m)+1,_xlpm.bAcct2,INDEX(_xlpm.bAcct,_xlpm.bi),_xlpm.bTkr2,INDEX(_xlpm.bTkr,_xlpm.bi),_xlpm.sAcct2,INDEX(_xlpm.sAcct,_xlpm.si),_xlpm.sTkr2,INDEX(_xlpm.sTkr,_xlpm.si),_xlpm.bDate2,INDEX(_xlpm.bDate,_xlpm.bi),_xlpm.bQty2,INDEX(_xlpm.bQty,_xlpm.bi),_xlpm.bPrice2,INDEX(_xlpm.bPrice,_xlpm.bi),_xlpm.bCostB2,INDEX(_xlpm.bCostB,_xlpm.bi),_xlpm.bCum2,INDEX(_xlpm.bCum,_xlpm.bi),_xlpm.sDate2,INDEX(_xlpm.sDate,_xlpm.si),_xlpm.sQty2,INDEX(_xlpm.sQty,_xlpm.si),_xlpm.sPrice2,INDEX(_xlpm.sPrice,_xlpm.si),_xlpm.sBrok2,INDEX(_xlpm.sBrok,_xlpm.si),_xlpm.sCum2,INDEX(_xlpm.sCum,_xlpm.si),_xlpm.buyStart,_xlpm.bCum2-_xlpm.bQty2,_xlpm.sellStart,_xlpm.sCum2-_xlpm.sQty2,_xlpm.minCum,IF(_xlpm.bCum2&lt;_xlpm.sCum2,_xlpm.bCum2,_xlpm.sCum2),_xlpm.maxStart,IF(_xlpm.buyStart&gt;_xlpm.sellStart,_xlpm.buyStart,_xlpm.sellStart),_xlpm.overlap,_xlpm.minCum-_xlpm.maxStart,_xlpm.matchQty,IF(_xlpm.overlap&gt;0,_xlpm.overlap,0),_xlpm.isMatch,(_xlpm.bAcct2=_xlpm.sAcct2)*(_xlpm.bTkr2=_xlpm.sTkr2)*(_xlpm.matchQty&gt;0),_xlpm.cbFactor,_xlfn.MAP(_xlpm.bAcct2,_xlpm.bTkr2,_xlpm.bDate2,_xlpm.sDate2,_xlfn.LAMBDA(_xlpm.a,_xlpm.t,_xlpm.bd,_xlpm.sd,PRODUCT(IF((_xlpm.rpAcct=_xlpm.a)*(_xlpm.rpTkr=_xlpm.t)*(_xlpm.bd&lt;=_xlpm.rpEff)*(_xlpm.sd&gt;_xlpm.rpEff)*_xlpm.rpm=1,_xlpm.rpFac,1)))),_xlpm.allocBrok,_xlpm.sBrok2/_xlpm.sQty2*_xlpm.matchQty,_xlpm.allocProceeds,_xlpm.matchQty*_xlpm.sPrice2-_xlpm.allocBrok,_xlpm.allocCB,_xlpm.bCostB2/_xlpm.bQty2*_xlpm.matchQty*_xlpm.cbFactor,_xlpm.gainLoss,_xlpm.allocProceeds-_xlpm.allocCB,_xlpm.holdDays,_xlpm.sDate2-_xlpm.bDate2,_xlpm.classification,IF(_xlpm.sDate2&gt;EDATE(_xlpm.bDate2,12),"&gt; 1 year","&lt; 1 year"),_xlpm.result,_xlfn.HSTACK(_xlpm.bAcct2,_xlpm.bTkr2,_xlpm.bDate2,_xlpm.bQty2,_xlpm.bPrice2,_xlpm.bCostB2,_xlpm.sDate2,_xlpm.matchQty,_xlpm.sPrice2,_xlpm.allocBrok,_xlpm.allocProceeds,_xlpm.allocCB,_xlpm.gainLoss,_xlpm.holdDays,_xlpm.classification,_xlpm.isMatch),_xlpm.filtered,_xlfn._xlws.FILTER(_xlpm.result,_xlpm.isMatch=1),_xlfn._xlws.SORT(_xlfn.CHOOSECOLS(_xlpm.filtered,_xlfn.SEQUENCE(1,15)),_xlfn.VSTACK(1,2,3),_xlfn.VSTACK(1,1,1)))</f>
        <v>#VALUE!</v>
      </c>
      <c r="B2" s="97"/>
      <c r="C2" s="97"/>
      <c r="F2" s="97"/>
      <c r="G2" s="97"/>
      <c r="J2" s="98"/>
      <c r="K2" s="98"/>
      <c r="L2" s="98"/>
      <c r="M2" s="99"/>
    </row>
    <row r="3" spans="1:15" x14ac:dyDescent="0.35">
      <c r="B3" s="97"/>
      <c r="C3" s="97"/>
      <c r="F3" s="97"/>
      <c r="G3" s="97"/>
      <c r="J3" s="98"/>
      <c r="K3" s="98"/>
      <c r="L3" s="98"/>
      <c r="M3" s="99"/>
    </row>
    <row r="4" spans="1:15" x14ac:dyDescent="0.35">
      <c r="B4" s="97"/>
      <c r="C4" s="97"/>
      <c r="F4" s="97"/>
      <c r="G4" s="97"/>
      <c r="J4" s="98"/>
      <c r="K4" s="98"/>
      <c r="L4" s="98"/>
      <c r="M4" s="99"/>
    </row>
    <row r="5" spans="1:15" x14ac:dyDescent="0.35">
      <c r="B5" s="97"/>
      <c r="C5" s="97"/>
      <c r="F5" s="97"/>
      <c r="G5" s="97"/>
      <c r="J5" s="98"/>
      <c r="K5" s="98"/>
      <c r="L5" s="98"/>
      <c r="M5" s="99"/>
    </row>
    <row r="6" spans="1:15" x14ac:dyDescent="0.35">
      <c r="B6" s="97"/>
      <c r="C6" s="97"/>
      <c r="F6" s="97"/>
      <c r="G6" s="97"/>
      <c r="J6" s="98"/>
      <c r="K6" s="98"/>
      <c r="L6" s="98"/>
      <c r="M6" s="99"/>
    </row>
    <row r="7" spans="1:15" x14ac:dyDescent="0.35">
      <c r="B7" s="97"/>
      <c r="C7" s="97"/>
      <c r="F7" s="97"/>
      <c r="G7" s="97"/>
      <c r="J7" s="98"/>
      <c r="K7" s="98"/>
      <c r="L7" s="98"/>
      <c r="M7" s="99"/>
    </row>
    <row r="8" spans="1:15" x14ac:dyDescent="0.35">
      <c r="B8" s="97"/>
      <c r="C8" s="97"/>
      <c r="F8" s="97"/>
      <c r="G8" s="97"/>
      <c r="J8" s="98"/>
      <c r="K8" s="98"/>
      <c r="L8" s="98"/>
      <c r="M8" s="99"/>
    </row>
    <row r="9" spans="1:15" x14ac:dyDescent="0.35">
      <c r="B9" s="97"/>
      <c r="C9" s="97"/>
      <c r="F9" s="97"/>
      <c r="G9" s="97"/>
      <c r="J9" s="98"/>
      <c r="K9" s="98"/>
      <c r="L9" s="98"/>
      <c r="M9" s="99"/>
    </row>
    <row r="10" spans="1:15" x14ac:dyDescent="0.35">
      <c r="B10" s="97"/>
      <c r="C10" s="97"/>
      <c r="F10" s="97"/>
      <c r="G10" s="97"/>
      <c r="J10" s="98"/>
      <c r="K10" s="98"/>
      <c r="L10" s="98"/>
      <c r="M10" s="99"/>
    </row>
    <row r="11" spans="1:15" x14ac:dyDescent="0.35">
      <c r="B11" s="97"/>
      <c r="C11" s="97"/>
      <c r="F11" s="97"/>
      <c r="G11" s="97"/>
      <c r="J11" s="98"/>
      <c r="K11" s="98"/>
      <c r="L11" s="98"/>
      <c r="M11" s="99"/>
    </row>
    <row r="12" spans="1:15" x14ac:dyDescent="0.35">
      <c r="B12" s="97"/>
      <c r="C12" s="97"/>
      <c r="F12" s="97"/>
      <c r="G12" s="97"/>
      <c r="J12" s="98"/>
      <c r="K12" s="98"/>
      <c r="L12" s="98"/>
      <c r="M12" s="99"/>
    </row>
    <row r="13" spans="1:15" x14ac:dyDescent="0.35">
      <c r="B13" s="97"/>
      <c r="C13" s="97"/>
      <c r="F13" s="97"/>
      <c r="G13" s="97"/>
      <c r="J13" s="98"/>
      <c r="K13" s="98"/>
      <c r="L13" s="98"/>
      <c r="M13" s="99"/>
    </row>
    <row r="14" spans="1:15" x14ac:dyDescent="0.35">
      <c r="B14" s="97"/>
      <c r="C14" s="97"/>
      <c r="F14" s="97"/>
      <c r="G14" s="97"/>
      <c r="J14" s="98"/>
      <c r="K14" s="98"/>
      <c r="L14" s="98"/>
      <c r="M14" s="99"/>
    </row>
    <row r="15" spans="1:15" x14ac:dyDescent="0.35">
      <c r="B15" s="97"/>
      <c r="C15" s="97"/>
      <c r="F15" s="97"/>
      <c r="G15" s="97"/>
      <c r="J15" s="98"/>
      <c r="K15" s="98"/>
      <c r="L15" s="98"/>
      <c r="M15" s="99"/>
    </row>
    <row r="16" spans="1:15" x14ac:dyDescent="0.35">
      <c r="B16" s="97"/>
      <c r="C16" s="97"/>
      <c r="F16" s="97"/>
      <c r="G16" s="97"/>
      <c r="J16" s="98"/>
      <c r="K16" s="98"/>
      <c r="L16" s="98"/>
      <c r="M16" s="99"/>
    </row>
    <row r="17" spans="2:13" x14ac:dyDescent="0.35">
      <c r="B17" s="97"/>
      <c r="C17" s="97"/>
      <c r="F17" s="97"/>
      <c r="G17" s="97"/>
      <c r="J17" s="98"/>
      <c r="K17" s="98"/>
      <c r="L17" s="98"/>
      <c r="M17" s="99"/>
    </row>
    <row r="18" spans="2:13" x14ac:dyDescent="0.35">
      <c r="B18" s="97"/>
      <c r="C18" s="97"/>
      <c r="F18" s="97"/>
      <c r="G18" s="97"/>
      <c r="J18" s="98"/>
      <c r="K18" s="98"/>
      <c r="L18" s="98"/>
      <c r="M18" s="99"/>
    </row>
    <row r="19" spans="2:13" x14ac:dyDescent="0.35">
      <c r="B19" s="97"/>
      <c r="C19" s="97"/>
      <c r="F19" s="97"/>
      <c r="G19" s="97"/>
      <c r="J19" s="98"/>
      <c r="K19" s="98"/>
      <c r="L19" s="98"/>
      <c r="M19" s="99"/>
    </row>
    <row r="20" spans="2:13" x14ac:dyDescent="0.35">
      <c r="B20" s="97"/>
      <c r="C20" s="97"/>
      <c r="F20" s="97"/>
      <c r="G20" s="97"/>
      <c r="J20" s="98"/>
      <c r="K20" s="98"/>
      <c r="L20" s="98"/>
      <c r="M20" s="99"/>
    </row>
    <row r="21" spans="2:13" x14ac:dyDescent="0.35">
      <c r="B21" s="97"/>
      <c r="C21" s="97"/>
      <c r="F21" s="97"/>
      <c r="G21" s="97"/>
      <c r="J21" s="98"/>
      <c r="K21" s="98"/>
      <c r="L21" s="98"/>
      <c r="M21" s="99"/>
    </row>
    <row r="22" spans="2:13" x14ac:dyDescent="0.35">
      <c r="B22" s="97"/>
      <c r="C22" s="97"/>
      <c r="F22" s="97"/>
      <c r="G22" s="97"/>
      <c r="J22" s="98"/>
      <c r="K22" s="98"/>
      <c r="L22" s="98"/>
      <c r="M22" s="99"/>
    </row>
    <row r="23" spans="2:13" x14ac:dyDescent="0.35">
      <c r="B23" s="97"/>
      <c r="C23" s="97"/>
      <c r="F23" s="97"/>
      <c r="G23" s="97"/>
      <c r="J23" s="98"/>
      <c r="K23" s="98"/>
      <c r="L23" s="98"/>
      <c r="M23" s="99"/>
    </row>
    <row r="24" spans="2:13" x14ac:dyDescent="0.35">
      <c r="B24" s="97"/>
      <c r="C24" s="97"/>
      <c r="F24" s="97"/>
      <c r="G24" s="97"/>
      <c r="J24" s="98"/>
      <c r="K24" s="98"/>
      <c r="L24" s="98"/>
      <c r="M24" s="99"/>
    </row>
    <row r="25" spans="2:13" x14ac:dyDescent="0.35">
      <c r="B25" s="97"/>
      <c r="C25" s="97"/>
      <c r="F25" s="97"/>
      <c r="G25" s="97"/>
      <c r="J25" s="98"/>
      <c r="K25" s="98"/>
      <c r="L25" s="98"/>
      <c r="M25" s="99"/>
    </row>
    <row r="26" spans="2:13" x14ac:dyDescent="0.35">
      <c r="B26" s="97"/>
      <c r="C26" s="97"/>
      <c r="F26" s="97"/>
      <c r="G26" s="97"/>
      <c r="J26" s="98"/>
      <c r="K26" s="98"/>
      <c r="L26" s="98"/>
      <c r="M26" s="99"/>
    </row>
    <row r="27" spans="2:13" x14ac:dyDescent="0.35">
      <c r="B27" s="97"/>
      <c r="C27" s="97"/>
      <c r="F27" s="97"/>
      <c r="G27" s="97"/>
      <c r="J27" s="98"/>
      <c r="K27" s="98"/>
      <c r="L27" s="98"/>
      <c r="M27" s="99"/>
    </row>
    <row r="28" spans="2:13" x14ac:dyDescent="0.35">
      <c r="B28" s="97"/>
      <c r="C28" s="97"/>
      <c r="F28" s="97"/>
      <c r="G28" s="97"/>
      <c r="J28" s="98"/>
      <c r="K28" s="98"/>
      <c r="L28" s="98"/>
      <c r="M28" s="99"/>
    </row>
    <row r="29" spans="2:13" x14ac:dyDescent="0.35">
      <c r="B29" s="97"/>
      <c r="C29" s="97"/>
      <c r="F29" s="97"/>
      <c r="G29" s="97"/>
      <c r="J29" s="98"/>
      <c r="K29" s="98"/>
      <c r="L29" s="98"/>
      <c r="M29" s="99"/>
    </row>
    <row r="30" spans="2:13" x14ac:dyDescent="0.35">
      <c r="B30" s="97"/>
      <c r="C30" s="97"/>
      <c r="F30" s="97"/>
      <c r="G30" s="97"/>
      <c r="J30" s="98"/>
      <c r="K30" s="98"/>
      <c r="L30" s="98"/>
      <c r="M30" s="99"/>
    </row>
    <row r="31" spans="2:13" x14ac:dyDescent="0.35">
      <c r="B31" s="97"/>
      <c r="C31" s="97"/>
      <c r="F31" s="97"/>
      <c r="G31" s="97"/>
      <c r="J31" s="98"/>
      <c r="K31" s="98"/>
      <c r="L31" s="98"/>
      <c r="M31" s="99"/>
    </row>
    <row r="32" spans="2:13" x14ac:dyDescent="0.35">
      <c r="B32" s="97"/>
      <c r="C32" s="97"/>
      <c r="F32" s="97"/>
      <c r="G32" s="97"/>
      <c r="J32" s="98"/>
      <c r="K32" s="98"/>
      <c r="L32" s="98"/>
      <c r="M32" s="99"/>
    </row>
    <row r="33" spans="2:13" x14ac:dyDescent="0.35">
      <c r="B33" s="97"/>
      <c r="C33" s="97"/>
      <c r="F33" s="97"/>
      <c r="G33" s="97"/>
      <c r="J33" s="98"/>
      <c r="K33" s="98"/>
      <c r="L33" s="98"/>
      <c r="M33" s="99"/>
    </row>
    <row r="34" spans="2:13" x14ac:dyDescent="0.35">
      <c r="B34" s="97"/>
      <c r="C34" s="97"/>
      <c r="F34" s="97"/>
      <c r="G34" s="97"/>
      <c r="J34" s="98"/>
      <c r="K34" s="98"/>
      <c r="L34" s="98"/>
      <c r="M34" s="99"/>
    </row>
    <row r="35" spans="2:13" x14ac:dyDescent="0.35">
      <c r="B35" s="97"/>
      <c r="C35" s="97"/>
      <c r="F35" s="97"/>
      <c r="G35" s="97"/>
      <c r="J35" s="98"/>
      <c r="K35" s="98"/>
      <c r="L35" s="98"/>
      <c r="M35" s="99"/>
    </row>
    <row r="36" spans="2:13" x14ac:dyDescent="0.35">
      <c r="B36" s="97"/>
      <c r="C36" s="97"/>
      <c r="F36" s="97"/>
      <c r="G36" s="97"/>
      <c r="J36" s="98"/>
      <c r="K36" s="98"/>
      <c r="L36" s="98"/>
      <c r="M36" s="99"/>
    </row>
    <row r="37" spans="2:13" x14ac:dyDescent="0.35">
      <c r="B37" s="97"/>
      <c r="C37" s="97"/>
      <c r="F37" s="97"/>
      <c r="G37" s="97"/>
      <c r="J37" s="98"/>
      <c r="K37" s="98"/>
      <c r="L37" s="98"/>
      <c r="M37" s="99"/>
    </row>
    <row r="38" spans="2:13" x14ac:dyDescent="0.35">
      <c r="B38" s="97"/>
      <c r="C38" s="97"/>
      <c r="F38" s="97"/>
      <c r="G38" s="97"/>
      <c r="J38" s="98"/>
      <c r="K38" s="98"/>
      <c r="L38" s="98"/>
      <c r="M38" s="99"/>
    </row>
    <row r="39" spans="2:13" x14ac:dyDescent="0.35">
      <c r="B39" s="97"/>
      <c r="C39" s="97"/>
      <c r="F39" s="97"/>
      <c r="G39" s="97"/>
      <c r="J39" s="98"/>
      <c r="K39" s="98"/>
      <c r="L39" s="98"/>
      <c r="M39" s="99"/>
    </row>
    <row r="40" spans="2:13" x14ac:dyDescent="0.35">
      <c r="B40" s="97"/>
      <c r="C40" s="97"/>
      <c r="F40" s="97"/>
      <c r="G40" s="97"/>
      <c r="J40" s="98"/>
      <c r="K40" s="98"/>
      <c r="L40" s="98"/>
      <c r="M40" s="99"/>
    </row>
    <row r="41" spans="2:13" x14ac:dyDescent="0.35">
      <c r="B41" s="97"/>
      <c r="C41" s="97"/>
      <c r="F41" s="97"/>
      <c r="G41" s="97"/>
      <c r="J41" s="98"/>
      <c r="K41" s="98"/>
      <c r="L41" s="98"/>
      <c r="M41" s="99"/>
    </row>
    <row r="42" spans="2:13" x14ac:dyDescent="0.35">
      <c r="B42" s="97"/>
      <c r="C42" s="97"/>
      <c r="F42" s="97"/>
      <c r="G42" s="97"/>
      <c r="J42" s="98"/>
      <c r="K42" s="98"/>
      <c r="L42" s="98"/>
      <c r="M42" s="99"/>
    </row>
    <row r="43" spans="2:13" x14ac:dyDescent="0.35">
      <c r="B43" s="97"/>
      <c r="C43" s="97"/>
      <c r="F43" s="97"/>
      <c r="G43" s="97"/>
      <c r="J43" s="98"/>
      <c r="K43" s="98"/>
      <c r="L43" s="98"/>
      <c r="M43" s="99"/>
    </row>
    <row r="44" spans="2:13" x14ac:dyDescent="0.35">
      <c r="B44" s="97"/>
      <c r="C44" s="97"/>
      <c r="F44" s="97"/>
      <c r="G44" s="97"/>
      <c r="J44" s="98"/>
      <c r="K44" s="98"/>
      <c r="L44" s="98"/>
      <c r="M44" s="99"/>
    </row>
    <row r="45" spans="2:13" x14ac:dyDescent="0.35">
      <c r="B45" s="97"/>
      <c r="C45" s="97"/>
      <c r="F45" s="97"/>
      <c r="G45" s="97"/>
      <c r="J45" s="98"/>
      <c r="K45" s="98"/>
      <c r="L45" s="98"/>
      <c r="M45" s="99"/>
    </row>
    <row r="46" spans="2:13" x14ac:dyDescent="0.35">
      <c r="B46" s="97"/>
      <c r="C46" s="97"/>
      <c r="F46" s="97"/>
      <c r="G46" s="97"/>
      <c r="J46" s="98"/>
      <c r="K46" s="98"/>
      <c r="L46" s="98"/>
      <c r="M46" s="99"/>
    </row>
    <row r="47" spans="2:13" x14ac:dyDescent="0.35">
      <c r="B47" s="97"/>
      <c r="C47" s="97"/>
      <c r="F47" s="97"/>
      <c r="G47" s="97"/>
      <c r="J47" s="98"/>
      <c r="K47" s="98"/>
      <c r="L47" s="98"/>
      <c r="M47" s="99"/>
    </row>
    <row r="48" spans="2:13" x14ac:dyDescent="0.35">
      <c r="B48" s="97"/>
      <c r="C48" s="97"/>
      <c r="F48" s="97"/>
      <c r="G48" s="97"/>
      <c r="J48" s="98"/>
      <c r="K48" s="98"/>
      <c r="L48" s="98"/>
      <c r="M48" s="99"/>
    </row>
    <row r="49" spans="2:13" x14ac:dyDescent="0.35">
      <c r="B49" s="97"/>
      <c r="C49" s="97"/>
      <c r="F49" s="97"/>
      <c r="G49" s="97"/>
      <c r="J49" s="98"/>
      <c r="K49" s="98"/>
      <c r="L49" s="98"/>
      <c r="M49" s="99"/>
    </row>
    <row r="50" spans="2:13" x14ac:dyDescent="0.35">
      <c r="B50" s="97"/>
      <c r="C50" s="97"/>
      <c r="F50" s="97"/>
      <c r="G50" s="97"/>
      <c r="J50" s="98"/>
      <c r="K50" s="98"/>
      <c r="L50" s="98"/>
      <c r="M50" s="99"/>
    </row>
    <row r="51" spans="2:13" x14ac:dyDescent="0.35">
      <c r="B51" s="97"/>
      <c r="C51" s="97"/>
      <c r="F51" s="97"/>
      <c r="G51" s="97"/>
      <c r="J51" s="98"/>
      <c r="K51" s="98"/>
      <c r="L51" s="98"/>
      <c r="M51" s="99"/>
    </row>
    <row r="52" spans="2:13" x14ac:dyDescent="0.35">
      <c r="B52" s="97"/>
      <c r="C52" s="97"/>
      <c r="F52" s="97"/>
      <c r="G52" s="97"/>
      <c r="J52" s="98"/>
      <c r="K52" s="98"/>
      <c r="L52" s="98"/>
      <c r="M52" s="99"/>
    </row>
    <row r="53" spans="2:13" x14ac:dyDescent="0.35">
      <c r="B53" s="97"/>
      <c r="C53" s="97"/>
      <c r="F53" s="97"/>
      <c r="G53" s="97"/>
      <c r="J53" s="98"/>
      <c r="K53" s="98"/>
      <c r="L53" s="98"/>
      <c r="M53" s="99"/>
    </row>
    <row r="54" spans="2:13" x14ac:dyDescent="0.35">
      <c r="B54" s="97"/>
      <c r="C54" s="97"/>
      <c r="F54" s="97"/>
      <c r="G54" s="97"/>
      <c r="J54" s="98"/>
      <c r="K54" s="98"/>
      <c r="L54" s="98"/>
      <c r="M54" s="99"/>
    </row>
    <row r="55" spans="2:13" x14ac:dyDescent="0.35">
      <c r="B55" s="97"/>
      <c r="C55" s="97"/>
      <c r="F55" s="97"/>
      <c r="G55" s="97"/>
      <c r="J55" s="98"/>
      <c r="K55" s="98"/>
      <c r="L55" s="98"/>
      <c r="M55" s="99"/>
    </row>
    <row r="56" spans="2:13" x14ac:dyDescent="0.35">
      <c r="B56" s="97"/>
      <c r="C56" s="97"/>
      <c r="F56" s="97"/>
      <c r="G56" s="97"/>
      <c r="J56" s="98"/>
      <c r="K56" s="98"/>
      <c r="L56" s="98"/>
      <c r="M56" s="99"/>
    </row>
    <row r="57" spans="2:13" x14ac:dyDescent="0.35">
      <c r="B57" s="97"/>
      <c r="C57" s="97"/>
      <c r="F57" s="97"/>
      <c r="G57" s="97"/>
      <c r="J57" s="98"/>
      <c r="K57" s="98"/>
      <c r="L57" s="98"/>
      <c r="M57" s="99"/>
    </row>
    <row r="58" spans="2:13" x14ac:dyDescent="0.35">
      <c r="B58" s="97"/>
      <c r="C58" s="97"/>
      <c r="F58" s="97"/>
      <c r="G58" s="97"/>
      <c r="J58" s="98"/>
      <c r="K58" s="98"/>
      <c r="L58" s="98"/>
      <c r="M58" s="99"/>
    </row>
    <row r="59" spans="2:13" x14ac:dyDescent="0.35">
      <c r="B59" s="97"/>
      <c r="C59" s="97"/>
      <c r="F59" s="97"/>
      <c r="G59" s="97"/>
      <c r="J59" s="98"/>
      <c r="K59" s="98"/>
      <c r="L59" s="98"/>
      <c r="M59" s="99"/>
    </row>
    <row r="60" spans="2:13" x14ac:dyDescent="0.35">
      <c r="B60" s="97"/>
      <c r="C60" s="97"/>
      <c r="F60" s="97"/>
      <c r="G60" s="97"/>
      <c r="J60" s="98"/>
      <c r="K60" s="98"/>
      <c r="L60" s="98"/>
      <c r="M60" s="99"/>
    </row>
    <row r="61" spans="2:13" x14ac:dyDescent="0.35">
      <c r="B61" s="97"/>
      <c r="C61" s="97"/>
      <c r="F61" s="97"/>
      <c r="G61" s="97"/>
      <c r="J61" s="98"/>
      <c r="K61" s="98"/>
      <c r="L61" s="98"/>
      <c r="M61" s="99"/>
    </row>
    <row r="62" spans="2:13" x14ac:dyDescent="0.35">
      <c r="B62" s="97"/>
      <c r="C62" s="97"/>
      <c r="F62" s="97"/>
      <c r="G62" s="97"/>
      <c r="J62" s="98"/>
      <c r="K62" s="98"/>
      <c r="L62" s="98"/>
      <c r="M62" s="99"/>
    </row>
    <row r="63" spans="2:13" x14ac:dyDescent="0.35">
      <c r="B63" s="97"/>
      <c r="C63" s="97"/>
      <c r="F63" s="97"/>
      <c r="G63" s="97"/>
      <c r="J63" s="98"/>
      <c r="K63" s="98"/>
      <c r="L63" s="98"/>
      <c r="M63" s="99"/>
    </row>
    <row r="64" spans="2:13" x14ac:dyDescent="0.35">
      <c r="B64" s="97"/>
      <c r="C64" s="97"/>
      <c r="F64" s="97"/>
      <c r="G64" s="97"/>
      <c r="J64" s="98"/>
      <c r="K64" s="98"/>
      <c r="L64" s="98"/>
      <c r="M64" s="99"/>
    </row>
    <row r="65" spans="2:13" x14ac:dyDescent="0.35">
      <c r="B65" s="97"/>
      <c r="C65" s="97"/>
      <c r="F65" s="97"/>
      <c r="G65" s="97"/>
      <c r="J65" s="98"/>
      <c r="K65" s="98"/>
      <c r="L65" s="98"/>
      <c r="M65" s="99"/>
    </row>
    <row r="66" spans="2:13" x14ac:dyDescent="0.35">
      <c r="B66" s="97"/>
      <c r="C66" s="97"/>
      <c r="F66" s="97"/>
      <c r="G66" s="97"/>
      <c r="J66" s="98"/>
      <c r="K66" s="98"/>
      <c r="L66" s="98"/>
      <c r="M66" s="99"/>
    </row>
    <row r="67" spans="2:13" x14ac:dyDescent="0.35">
      <c r="B67" s="97"/>
      <c r="C67" s="97"/>
      <c r="F67" s="97"/>
      <c r="G67" s="97"/>
      <c r="J67" s="98"/>
      <c r="K67" s="98"/>
      <c r="L67" s="98"/>
      <c r="M67" s="99"/>
    </row>
    <row r="68" spans="2:13" x14ac:dyDescent="0.35">
      <c r="B68" s="97"/>
      <c r="C68" s="97"/>
      <c r="F68" s="97"/>
      <c r="G68" s="97"/>
      <c r="J68" s="98"/>
      <c r="K68" s="98"/>
      <c r="L68" s="98"/>
      <c r="M68" s="99"/>
    </row>
    <row r="69" spans="2:13" x14ac:dyDescent="0.35">
      <c r="B69" s="97"/>
      <c r="C69" s="97"/>
      <c r="F69" s="97"/>
      <c r="G69" s="97"/>
      <c r="J69" s="98"/>
      <c r="K69" s="98"/>
      <c r="L69" s="98"/>
      <c r="M69" s="99"/>
    </row>
    <row r="70" spans="2:13" x14ac:dyDescent="0.35">
      <c r="B70" s="97"/>
      <c r="C70" s="97"/>
      <c r="F70" s="97"/>
      <c r="G70" s="97"/>
      <c r="J70" s="98"/>
      <c r="K70" s="98"/>
      <c r="L70" s="98"/>
      <c r="M70" s="99"/>
    </row>
    <row r="71" spans="2:13" x14ac:dyDescent="0.35">
      <c r="B71" s="97"/>
      <c r="C71" s="97"/>
      <c r="F71" s="97"/>
      <c r="G71" s="97"/>
      <c r="J71" s="98"/>
      <c r="K71" s="98"/>
      <c r="L71" s="98"/>
      <c r="M71" s="99"/>
    </row>
    <row r="72" spans="2:13" x14ac:dyDescent="0.35">
      <c r="B72" s="97"/>
      <c r="C72" s="97"/>
      <c r="F72" s="97"/>
      <c r="G72" s="97"/>
      <c r="J72" s="98"/>
      <c r="K72" s="98"/>
      <c r="L72" s="98"/>
      <c r="M72" s="99"/>
    </row>
    <row r="73" spans="2:13" x14ac:dyDescent="0.35">
      <c r="B73" s="97"/>
      <c r="C73" s="97"/>
      <c r="F73" s="97"/>
      <c r="G73" s="97"/>
      <c r="J73" s="98"/>
      <c r="K73" s="98"/>
      <c r="L73" s="98"/>
      <c r="M73" s="99"/>
    </row>
    <row r="74" spans="2:13" x14ac:dyDescent="0.35">
      <c r="B74" s="97"/>
      <c r="C74" s="97"/>
      <c r="F74" s="97"/>
      <c r="G74" s="97"/>
      <c r="J74" s="98"/>
      <c r="K74" s="98"/>
      <c r="L74" s="98"/>
      <c r="M74" s="99"/>
    </row>
    <row r="75" spans="2:13" x14ac:dyDescent="0.35">
      <c r="B75" s="97"/>
      <c r="C75" s="97"/>
      <c r="F75" s="97"/>
      <c r="G75" s="97"/>
      <c r="J75" s="98"/>
      <c r="K75" s="98"/>
      <c r="L75" s="98"/>
      <c r="M75" s="99"/>
    </row>
    <row r="76" spans="2:13" x14ac:dyDescent="0.35">
      <c r="B76" s="97"/>
      <c r="C76" s="97"/>
      <c r="F76" s="97"/>
      <c r="G76" s="97"/>
      <c r="J76" s="98"/>
      <c r="K76" s="98"/>
      <c r="L76" s="98"/>
      <c r="M76" s="99"/>
    </row>
    <row r="77" spans="2:13" x14ac:dyDescent="0.35">
      <c r="B77" s="97"/>
      <c r="C77" s="97"/>
      <c r="F77" s="97"/>
      <c r="G77" s="97"/>
      <c r="J77" s="98"/>
      <c r="K77" s="98"/>
      <c r="L77" s="98"/>
      <c r="M77" s="99"/>
    </row>
    <row r="78" spans="2:13" x14ac:dyDescent="0.35">
      <c r="B78" s="97"/>
      <c r="C78" s="97"/>
      <c r="F78" s="97"/>
      <c r="G78" s="97"/>
      <c r="J78" s="98"/>
      <c r="K78" s="98"/>
      <c r="L78" s="98"/>
      <c r="M78" s="99"/>
    </row>
    <row r="79" spans="2:13" x14ac:dyDescent="0.35">
      <c r="B79" s="97"/>
      <c r="C79" s="97"/>
      <c r="F79" s="97"/>
      <c r="G79" s="97"/>
      <c r="J79" s="98"/>
      <c r="K79" s="98"/>
      <c r="L79" s="98"/>
      <c r="M79" s="99"/>
    </row>
    <row r="80" spans="2:13" x14ac:dyDescent="0.35">
      <c r="B80" s="97"/>
      <c r="C80" s="97"/>
      <c r="F80" s="97"/>
      <c r="G80" s="97"/>
      <c r="J80" s="98"/>
      <c r="K80" s="98"/>
      <c r="L80" s="98"/>
      <c r="M80" s="99"/>
    </row>
    <row r="81" spans="2:13" x14ac:dyDescent="0.35">
      <c r="B81" s="97"/>
      <c r="C81" s="97"/>
      <c r="F81" s="97"/>
      <c r="G81" s="97"/>
      <c r="J81" s="98"/>
      <c r="K81" s="98"/>
      <c r="L81" s="98"/>
      <c r="M81" s="99"/>
    </row>
    <row r="82" spans="2:13" x14ac:dyDescent="0.35">
      <c r="B82" s="97"/>
      <c r="C82" s="97"/>
      <c r="F82" s="97"/>
      <c r="G82" s="97"/>
      <c r="J82" s="98"/>
      <c r="K82" s="98"/>
      <c r="L82" s="98"/>
      <c r="M82" s="99"/>
    </row>
    <row r="83" spans="2:13" x14ac:dyDescent="0.35">
      <c r="B83" s="97"/>
      <c r="C83" s="97"/>
      <c r="F83" s="97"/>
      <c r="G83" s="97"/>
      <c r="J83" s="98"/>
      <c r="K83" s="98"/>
      <c r="L83" s="98"/>
      <c r="M83" s="99"/>
    </row>
    <row r="84" spans="2:13" x14ac:dyDescent="0.35">
      <c r="B84" s="97"/>
      <c r="C84" s="97"/>
      <c r="F84" s="97"/>
      <c r="G84" s="97"/>
      <c r="J84" s="98"/>
      <c r="K84" s="98"/>
      <c r="L84" s="98"/>
      <c r="M84" s="99"/>
    </row>
    <row r="85" spans="2:13" x14ac:dyDescent="0.35">
      <c r="B85" s="97"/>
      <c r="C85" s="97"/>
      <c r="F85" s="97"/>
      <c r="G85" s="97"/>
      <c r="J85" s="98"/>
      <c r="K85" s="98"/>
      <c r="L85" s="98"/>
      <c r="M85" s="99"/>
    </row>
    <row r="86" spans="2:13" x14ac:dyDescent="0.35">
      <c r="B86" s="97"/>
      <c r="C86" s="97"/>
      <c r="F86" s="97"/>
      <c r="G86" s="97"/>
      <c r="J86" s="98"/>
      <c r="K86" s="98"/>
      <c r="L86" s="98"/>
      <c r="M86" s="99"/>
    </row>
    <row r="87" spans="2:13" x14ac:dyDescent="0.35">
      <c r="B87" s="97"/>
      <c r="C87" s="97"/>
      <c r="F87" s="97"/>
      <c r="G87" s="97"/>
      <c r="J87" s="98"/>
      <c r="K87" s="98"/>
      <c r="L87" s="98"/>
      <c r="M87" s="99"/>
    </row>
    <row r="88" spans="2:13" x14ac:dyDescent="0.35">
      <c r="B88" s="97"/>
      <c r="C88" s="97"/>
      <c r="F88" s="97"/>
      <c r="G88" s="97"/>
      <c r="J88" s="98"/>
      <c r="K88" s="98"/>
      <c r="L88" s="98"/>
      <c r="M88" s="99"/>
    </row>
    <row r="89" spans="2:13" x14ac:dyDescent="0.35">
      <c r="B89" s="97"/>
      <c r="C89" s="97"/>
      <c r="F89" s="97"/>
      <c r="G89" s="97"/>
      <c r="J89" s="98"/>
      <c r="K89" s="98"/>
      <c r="L89" s="98"/>
      <c r="M89" s="99"/>
    </row>
    <row r="90" spans="2:13" x14ac:dyDescent="0.35">
      <c r="B90" s="97"/>
      <c r="C90" s="97"/>
      <c r="F90" s="97"/>
      <c r="G90" s="97"/>
      <c r="J90" s="98"/>
      <c r="K90" s="98"/>
      <c r="L90" s="98"/>
      <c r="M90" s="99"/>
    </row>
    <row r="91" spans="2:13" x14ac:dyDescent="0.35">
      <c r="B91" s="97"/>
      <c r="C91" s="97"/>
      <c r="F91" s="97"/>
      <c r="G91" s="97"/>
      <c r="J91" s="98"/>
      <c r="K91" s="98"/>
      <c r="L91" s="98"/>
      <c r="M91" s="99"/>
    </row>
    <row r="92" spans="2:13" x14ac:dyDescent="0.35">
      <c r="B92" s="97"/>
      <c r="C92" s="97"/>
      <c r="F92" s="97"/>
      <c r="G92" s="97"/>
      <c r="J92" s="98"/>
      <c r="K92" s="98"/>
      <c r="L92" s="98"/>
      <c r="M92" s="99"/>
    </row>
    <row r="93" spans="2:13" x14ac:dyDescent="0.35">
      <c r="B93" s="97"/>
      <c r="C93" s="97"/>
      <c r="F93" s="97"/>
      <c r="G93" s="97"/>
      <c r="J93" s="98"/>
      <c r="K93" s="98"/>
      <c r="L93" s="98"/>
      <c r="M93" s="99"/>
    </row>
    <row r="94" spans="2:13" x14ac:dyDescent="0.35">
      <c r="B94" s="97"/>
      <c r="C94" s="97"/>
      <c r="F94" s="97"/>
      <c r="G94" s="97"/>
      <c r="J94" s="98"/>
      <c r="K94" s="98"/>
      <c r="L94" s="98"/>
      <c r="M94" s="99"/>
    </row>
    <row r="95" spans="2:13" x14ac:dyDescent="0.35">
      <c r="B95" s="97"/>
      <c r="C95" s="97"/>
      <c r="F95" s="97"/>
      <c r="G95" s="97"/>
      <c r="J95" s="98"/>
      <c r="K95" s="98"/>
      <c r="L95" s="98"/>
      <c r="M95" s="99"/>
    </row>
    <row r="96" spans="2:13" x14ac:dyDescent="0.35">
      <c r="B96" s="97"/>
      <c r="C96" s="97"/>
      <c r="F96" s="97"/>
      <c r="G96" s="97"/>
      <c r="J96" s="98"/>
      <c r="K96" s="98"/>
      <c r="L96" s="98"/>
      <c r="M96" s="99"/>
    </row>
    <row r="97" spans="2:13" x14ac:dyDescent="0.35">
      <c r="B97" s="97"/>
      <c r="C97" s="97"/>
      <c r="F97" s="97"/>
      <c r="G97" s="97"/>
      <c r="J97" s="98"/>
      <c r="K97" s="98"/>
      <c r="L97" s="98"/>
      <c r="M97" s="99"/>
    </row>
    <row r="98" spans="2:13" x14ac:dyDescent="0.35">
      <c r="B98" s="97"/>
      <c r="C98" s="97"/>
      <c r="F98" s="97"/>
      <c r="G98" s="97"/>
      <c r="J98" s="98"/>
      <c r="K98" s="98"/>
      <c r="L98" s="98"/>
      <c r="M98" s="99"/>
    </row>
    <row r="99" spans="2:13" x14ac:dyDescent="0.35">
      <c r="B99" s="97"/>
      <c r="C99" s="97"/>
      <c r="F99" s="97"/>
      <c r="G99" s="97"/>
      <c r="J99" s="98"/>
      <c r="K99" s="98"/>
      <c r="L99" s="98"/>
      <c r="M99" s="99"/>
    </row>
    <row r="100" spans="2:13" x14ac:dyDescent="0.35">
      <c r="B100" s="97"/>
      <c r="C100" s="97"/>
      <c r="F100" s="97"/>
      <c r="G100" s="97"/>
      <c r="J100" s="98"/>
      <c r="K100" s="98"/>
      <c r="L100" s="98"/>
      <c r="M100" s="99"/>
    </row>
    <row r="101" spans="2:13" x14ac:dyDescent="0.35">
      <c r="B101" s="97"/>
      <c r="C101" s="97"/>
      <c r="F101" s="97"/>
      <c r="G101" s="97"/>
      <c r="J101" s="98"/>
      <c r="K101" s="98"/>
      <c r="L101" s="98"/>
      <c r="M101" s="99"/>
    </row>
    <row r="102" spans="2:13" x14ac:dyDescent="0.35">
      <c r="B102" s="97"/>
      <c r="C102" s="97"/>
      <c r="F102" s="97"/>
      <c r="G102" s="97"/>
      <c r="J102" s="98"/>
      <c r="K102" s="98"/>
      <c r="L102" s="98"/>
      <c r="M102" s="99"/>
    </row>
    <row r="103" spans="2:13" x14ac:dyDescent="0.35">
      <c r="B103" s="97"/>
      <c r="C103" s="97"/>
      <c r="F103" s="97"/>
      <c r="G103" s="97"/>
      <c r="J103" s="98"/>
      <c r="K103" s="98"/>
      <c r="L103" s="98"/>
      <c r="M103" s="99"/>
    </row>
    <row r="104" spans="2:13" x14ac:dyDescent="0.35">
      <c r="B104" s="97"/>
      <c r="C104" s="97"/>
      <c r="F104" s="97"/>
      <c r="G104" s="97"/>
      <c r="J104" s="98"/>
      <c r="K104" s="98"/>
      <c r="L104" s="98"/>
      <c r="M104" s="99"/>
    </row>
    <row r="105" spans="2:13" x14ac:dyDescent="0.35">
      <c r="B105" s="97"/>
      <c r="C105" s="97"/>
      <c r="F105" s="97"/>
      <c r="G105" s="97"/>
      <c r="J105" s="98"/>
      <c r="K105" s="98"/>
      <c r="L105" s="98"/>
      <c r="M105" s="99"/>
    </row>
    <row r="106" spans="2:13" x14ac:dyDescent="0.35">
      <c r="B106" s="97"/>
      <c r="C106" s="97"/>
      <c r="F106" s="97"/>
      <c r="G106" s="97"/>
      <c r="J106" s="98"/>
      <c r="K106" s="98"/>
      <c r="L106" s="98"/>
      <c r="M106" s="99"/>
    </row>
    <row r="107" spans="2:13" x14ac:dyDescent="0.35">
      <c r="B107" s="97"/>
      <c r="C107" s="97"/>
      <c r="F107" s="97"/>
      <c r="G107" s="97"/>
      <c r="J107" s="98"/>
      <c r="K107" s="98"/>
      <c r="L107" s="98"/>
      <c r="M107" s="99"/>
    </row>
    <row r="108" spans="2:13" x14ac:dyDescent="0.35">
      <c r="B108" s="97"/>
      <c r="C108" s="97"/>
      <c r="F108" s="97"/>
      <c r="G108" s="97"/>
      <c r="J108" s="98"/>
      <c r="K108" s="98"/>
      <c r="L108" s="98"/>
      <c r="M108" s="99"/>
    </row>
    <row r="109" spans="2:13" x14ac:dyDescent="0.35">
      <c r="B109" s="97"/>
      <c r="C109" s="97"/>
      <c r="F109" s="97"/>
      <c r="G109" s="97"/>
      <c r="J109" s="98"/>
      <c r="K109" s="98"/>
      <c r="L109" s="98"/>
      <c r="M109" s="99"/>
    </row>
    <row r="110" spans="2:13" x14ac:dyDescent="0.35">
      <c r="B110" s="97"/>
      <c r="C110" s="97"/>
      <c r="F110" s="97"/>
      <c r="G110" s="97"/>
      <c r="J110" s="98"/>
      <c r="K110" s="98"/>
      <c r="L110" s="98"/>
      <c r="M110" s="99"/>
    </row>
    <row r="111" spans="2:13" x14ac:dyDescent="0.35">
      <c r="B111" s="97"/>
      <c r="C111" s="97"/>
      <c r="F111" s="97"/>
      <c r="G111" s="97"/>
      <c r="J111" s="98"/>
      <c r="K111" s="98"/>
      <c r="L111" s="98"/>
      <c r="M111" s="99"/>
    </row>
    <row r="112" spans="2:13" x14ac:dyDescent="0.35">
      <c r="B112" s="97"/>
      <c r="C112" s="97"/>
      <c r="F112" s="97"/>
      <c r="G112" s="97"/>
      <c r="J112" s="98"/>
      <c r="K112" s="98"/>
      <c r="L112" s="98"/>
      <c r="M112" s="99"/>
    </row>
    <row r="113" spans="2:13" x14ac:dyDescent="0.35">
      <c r="B113" s="97"/>
      <c r="C113" s="97"/>
      <c r="F113" s="97"/>
      <c r="G113" s="97"/>
      <c r="J113" s="98"/>
      <c r="K113" s="98"/>
      <c r="L113" s="98"/>
      <c r="M113" s="99"/>
    </row>
    <row r="114" spans="2:13" x14ac:dyDescent="0.35">
      <c r="B114" s="97"/>
      <c r="C114" s="97"/>
      <c r="F114" s="97"/>
      <c r="G114" s="97"/>
      <c r="J114" s="98"/>
      <c r="K114" s="98"/>
      <c r="L114" s="98"/>
      <c r="M114" s="99"/>
    </row>
    <row r="115" spans="2:13" x14ac:dyDescent="0.35">
      <c r="B115" s="97"/>
      <c r="C115" s="97"/>
      <c r="F115" s="97"/>
      <c r="G115" s="97"/>
      <c r="J115" s="98"/>
      <c r="K115" s="98"/>
      <c r="L115" s="98"/>
      <c r="M115" s="99"/>
    </row>
    <row r="116" spans="2:13" x14ac:dyDescent="0.35">
      <c r="B116" s="97"/>
      <c r="C116" s="97"/>
      <c r="F116" s="97"/>
      <c r="G116" s="97"/>
      <c r="J116" s="98"/>
      <c r="K116" s="98"/>
      <c r="L116" s="98"/>
      <c r="M116" s="99"/>
    </row>
    <row r="117" spans="2:13" x14ac:dyDescent="0.35">
      <c r="B117" s="97"/>
      <c r="C117" s="97"/>
      <c r="F117" s="97"/>
      <c r="G117" s="97"/>
      <c r="J117" s="98"/>
      <c r="K117" s="98"/>
      <c r="L117" s="98"/>
      <c r="M117" s="99"/>
    </row>
    <row r="118" spans="2:13" x14ac:dyDescent="0.35">
      <c r="B118" s="97"/>
      <c r="C118" s="97"/>
      <c r="F118" s="97"/>
      <c r="G118" s="97"/>
      <c r="J118" s="98"/>
      <c r="K118" s="98"/>
      <c r="L118" s="98"/>
      <c r="M118" s="99"/>
    </row>
    <row r="119" spans="2:13" x14ac:dyDescent="0.35">
      <c r="B119" s="97"/>
      <c r="C119" s="97"/>
      <c r="F119" s="97"/>
      <c r="G119" s="97"/>
      <c r="J119" s="98"/>
      <c r="K119" s="98"/>
      <c r="L119" s="98"/>
      <c r="M119" s="99"/>
    </row>
    <row r="120" spans="2:13" x14ac:dyDescent="0.35">
      <c r="B120" s="97"/>
      <c r="C120" s="97"/>
      <c r="F120" s="97"/>
      <c r="G120" s="97"/>
      <c r="J120" s="98"/>
      <c r="K120" s="98"/>
      <c r="L120" s="98"/>
      <c r="M120" s="99"/>
    </row>
    <row r="121" spans="2:13" x14ac:dyDescent="0.35">
      <c r="B121" s="97"/>
      <c r="C121" s="97"/>
      <c r="F121" s="97"/>
      <c r="G121" s="97"/>
      <c r="J121" s="98"/>
      <c r="K121" s="98"/>
      <c r="L121" s="98"/>
      <c r="M121" s="99"/>
    </row>
    <row r="122" spans="2:13" x14ac:dyDescent="0.35">
      <c r="B122" s="97"/>
      <c r="C122" s="97"/>
      <c r="F122" s="97"/>
      <c r="G122" s="97"/>
      <c r="J122" s="98"/>
      <c r="K122" s="98"/>
      <c r="L122" s="98"/>
      <c r="M122" s="99"/>
    </row>
    <row r="123" spans="2:13" x14ac:dyDescent="0.35">
      <c r="B123" s="97"/>
      <c r="C123" s="97"/>
      <c r="F123" s="97"/>
      <c r="G123" s="97"/>
      <c r="J123" s="98"/>
      <c r="K123" s="98"/>
      <c r="L123" s="98"/>
      <c r="M123" s="99"/>
    </row>
    <row r="124" spans="2:13" x14ac:dyDescent="0.35">
      <c r="B124" s="97"/>
      <c r="F124" s="97"/>
    </row>
    <row r="125" spans="2:13" x14ac:dyDescent="0.35">
      <c r="B125" s="97"/>
      <c r="F125" s="97"/>
    </row>
  </sheetData>
  <sheetProtection formatCells="0" formatColumns="0" formatRows="0" insertRows="0" deleteRows="0" sort="0" autoFilter="0"/>
  <conditionalFormatting sqref="A1:O2">
    <cfRule type="expression" dxfId="10"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71AB7-C2B9-46FE-B4CE-B6F4DA2AA32E}">
  <sheetPr>
    <tabColor theme="9" tint="0.79998168889431442"/>
  </sheetPr>
  <dimension ref="A1:S31"/>
  <sheetViews>
    <sheetView workbookViewId="0">
      <selection activeCell="B3" sqref="B3"/>
    </sheetView>
  </sheetViews>
  <sheetFormatPr defaultRowHeight="14.5" x14ac:dyDescent="0.35"/>
  <cols>
    <col min="1" max="1" width="38.1796875" style="25" customWidth="1"/>
    <col min="2" max="2" width="14.54296875" style="25" customWidth="1"/>
    <col min="3" max="3" width="14.1796875" style="25" customWidth="1"/>
    <col min="4" max="4" width="37" style="25" bestFit="1" customWidth="1"/>
    <col min="5" max="5" width="13.6328125" style="25" bestFit="1" customWidth="1"/>
    <col min="6" max="6" width="29.6328125" style="25" bestFit="1" customWidth="1"/>
    <col min="7" max="16" width="14.90625" style="25" customWidth="1"/>
    <col min="17" max="17" width="3.6328125" style="25" customWidth="1"/>
    <col min="18" max="18" width="21.81640625" style="25" customWidth="1"/>
    <col min="19" max="19" width="14.54296875" style="25" customWidth="1"/>
    <col min="20" max="16384" width="8.7265625" style="25"/>
  </cols>
  <sheetData>
    <row r="1" spans="1:19" ht="18.5" x14ac:dyDescent="0.45">
      <c r="A1" s="100" t="s">
        <v>39</v>
      </c>
      <c r="R1" s="101" t="s">
        <v>32</v>
      </c>
    </row>
    <row r="2" spans="1:19" x14ac:dyDescent="0.35">
      <c r="A2" s="102" t="s">
        <v>40</v>
      </c>
    </row>
    <row r="3" spans="1:19" x14ac:dyDescent="0.35">
      <c r="A3" s="51" t="s">
        <v>41</v>
      </c>
      <c r="B3" s="15" t="s">
        <v>124</v>
      </c>
      <c r="C3" s="103" t="s">
        <v>160</v>
      </c>
      <c r="R3" s="51" t="s">
        <v>33</v>
      </c>
      <c r="S3" s="51" t="s">
        <v>34</v>
      </c>
    </row>
    <row r="4" spans="1:19" x14ac:dyDescent="0.35">
      <c r="A4" s="51" t="s">
        <v>33</v>
      </c>
      <c r="B4" s="15" t="s">
        <v>2</v>
      </c>
      <c r="C4" s="103" t="s">
        <v>160</v>
      </c>
      <c r="R4" s="25" t="s">
        <v>2</v>
      </c>
      <c r="S4" s="104">
        <v>0.5</v>
      </c>
    </row>
    <row r="5" spans="1:19" x14ac:dyDescent="0.35">
      <c r="A5" s="51" t="s">
        <v>42</v>
      </c>
      <c r="B5" s="11">
        <f>_xlfn.XLOOKUP(B4,$R$4:$R$7,$S$4:$S$7)</f>
        <v>0.5</v>
      </c>
      <c r="D5" s="51" t="s">
        <v>161</v>
      </c>
      <c r="F5" s="16">
        <v>0</v>
      </c>
      <c r="G5" s="103" t="s">
        <v>222</v>
      </c>
      <c r="R5" s="25" t="s">
        <v>35</v>
      </c>
      <c r="S5" s="104">
        <v>0.5</v>
      </c>
    </row>
    <row r="6" spans="1:19" ht="20" customHeight="1" x14ac:dyDescent="0.35">
      <c r="A6" s="105" t="s">
        <v>229</v>
      </c>
      <c r="B6" s="105"/>
      <c r="C6" s="105"/>
      <c r="D6" s="105"/>
      <c r="E6" s="105"/>
      <c r="F6" s="105"/>
      <c r="G6" s="105"/>
      <c r="H6" s="105"/>
      <c r="R6" s="25" t="s">
        <v>1</v>
      </c>
      <c r="S6" s="10">
        <f>1/3</f>
        <v>0.33333333333333331</v>
      </c>
    </row>
    <row r="7" spans="1:19" x14ac:dyDescent="0.35">
      <c r="A7" s="106" t="s">
        <v>59</v>
      </c>
      <c r="B7" s="51" t="s">
        <v>164</v>
      </c>
      <c r="D7" s="51" t="s">
        <v>165</v>
      </c>
      <c r="E7" s="51" t="s">
        <v>162</v>
      </c>
      <c r="F7" s="51" t="s">
        <v>163</v>
      </c>
      <c r="R7" s="25" t="s">
        <v>0</v>
      </c>
      <c r="S7" s="104">
        <v>0</v>
      </c>
    </row>
    <row r="8" spans="1:19" x14ac:dyDescent="0.35">
      <c r="A8" s="51" t="s">
        <v>60</v>
      </c>
      <c r="B8" s="13" t="e">
        <f>SUM(E8:F8)</f>
        <v>#N/A</v>
      </c>
      <c r="C8" s="84"/>
      <c r="D8" s="51" t="s">
        <v>60</v>
      </c>
      <c r="E8" s="13" t="e">
        <f>_xlfn.XLOOKUP($B$3,$B$22:$B$31,$E$22:$E$31)</f>
        <v>#N/A</v>
      </c>
      <c r="F8" s="12">
        <f>IF(B3='Trust Distributions'!B2,'Trust Distributions'!B4,0)</f>
        <v>0</v>
      </c>
      <c r="G8" s="103" t="s">
        <v>221</v>
      </c>
    </row>
    <row r="9" spans="1:19" x14ac:dyDescent="0.35">
      <c r="A9" s="51" t="s">
        <v>61</v>
      </c>
      <c r="B9" s="13" t="e">
        <f>SUM(E9:F9)</f>
        <v>#N/A</v>
      </c>
      <c r="C9" s="84"/>
      <c r="D9" s="51" t="s">
        <v>61</v>
      </c>
      <c r="E9" s="13" t="e">
        <f>_xlfn.XLOOKUP($B$3,$B$22:$B$31,$F$22:$F$31)</f>
        <v>#N/A</v>
      </c>
      <c r="F9" s="12">
        <f>IF(B3='Trust Distributions'!B2,'Trust Distributions'!C4,0)</f>
        <v>0</v>
      </c>
      <c r="G9" s="103" t="s">
        <v>221</v>
      </c>
      <c r="R9" s="25" t="s">
        <v>36</v>
      </c>
      <c r="S9" s="1" t="e" vm="2">
        <f>_xlfn.LET(_xlpm.d,MIN(Parsed!$B$2:$B$100000),IF(_xlpm.d&gt;0,YEAR(_xlpm.d)+(MONTH(_xlpm.d)&gt;=7),$S$10))</f>
        <v>#VALUE!</v>
      </c>
    </row>
    <row r="10" spans="1:19" x14ac:dyDescent="0.35">
      <c r="A10" s="51" t="s">
        <v>62</v>
      </c>
      <c r="B10" s="13" t="e">
        <f>SUM(E10:F10)</f>
        <v>#N/A</v>
      </c>
      <c r="C10" s="84"/>
      <c r="D10" s="51" t="s">
        <v>62</v>
      </c>
      <c r="E10" s="13" t="e">
        <f>_xlfn.XLOOKUP($B$3,$B$22:$B$31,$G$22:$G$31)</f>
        <v>#N/A</v>
      </c>
      <c r="F10" s="12">
        <f>IF(B3='Trust Distributions'!B2,'Trust Distributions'!D4,0)</f>
        <v>0</v>
      </c>
      <c r="G10" s="103" t="s">
        <v>221</v>
      </c>
      <c r="R10" s="25" t="s">
        <v>37</v>
      </c>
      <c r="S10" s="1" t="e" cm="1" vm="1">
        <f t="array" ref="S10">_xlfn.LET(_xlpm.sd,_xlfn._xlws.FILTER('FIFO Matches'!$G$2:$G$5000,'FIFO Matches'!$G$2:$G$5000&lt;&gt;""),MAX(YEAR(_xlpm.sd)+(MONTH(_xlpm.sd)&gt;=7)))</f>
        <v>#VALUE!</v>
      </c>
    </row>
    <row r="11" spans="1:19" x14ac:dyDescent="0.35">
      <c r="A11" s="51" t="s">
        <v>171</v>
      </c>
      <c r="B11" s="13" t="e">
        <f>SUM(B8:B9)</f>
        <v>#N/A</v>
      </c>
      <c r="C11" s="107"/>
    </row>
    <row r="12" spans="1:19" x14ac:dyDescent="0.35">
      <c r="A12" s="51" t="s">
        <v>63</v>
      </c>
      <c r="B12" s="13" t="e">
        <f>IF(F5&gt;0,F5,_xlfn.XLOOKUP($B$3,$B$22:$B$31,$I$22:$I$31))</f>
        <v>#N/A</v>
      </c>
      <c r="R12" s="25" t="s">
        <v>38</v>
      </c>
      <c r="S12" s="1" t="e" cm="1" vm="2">
        <f t="array" ref="S12">_xlfn.LET(_xlpm.a,$S$9,_xlpm.b,$S$10,_xlpm.yrs,_xlfn.SEQUENCE(_xlpm.b-_xlpm.a+1,1,_xlpm.a),(_xlpm.yrs-1)&amp;"-"&amp;RIGHT(_xlpm.yrs,2))</f>
        <v>#VALUE!</v>
      </c>
    </row>
    <row r="13" spans="1:19" x14ac:dyDescent="0.35">
      <c r="A13" s="51" t="s">
        <v>64</v>
      </c>
      <c r="B13" s="13" t="e">
        <f>MIN(B8+B9,B10+B12)</f>
        <v>#N/A</v>
      </c>
      <c r="C13" s="84"/>
      <c r="D13" s="84"/>
    </row>
    <row r="14" spans="1:19" x14ac:dyDescent="0.35">
      <c r="A14" s="51" t="s">
        <v>65</v>
      </c>
      <c r="B14" s="13" t="e">
        <f>B8-MAX(0,B13-B9)</f>
        <v>#N/A</v>
      </c>
      <c r="C14" s="84"/>
    </row>
    <row r="15" spans="1:19" x14ac:dyDescent="0.35">
      <c r="A15" s="51" t="s">
        <v>66</v>
      </c>
      <c r="B15" s="13" t="e">
        <f>B14*$B$5</f>
        <v>#N/A</v>
      </c>
      <c r="C15" s="84"/>
    </row>
    <row r="16" spans="1:19" x14ac:dyDescent="0.35">
      <c r="A16" s="51" t="s">
        <v>67</v>
      </c>
      <c r="B16" s="14" t="e">
        <f>B11-B13-B15</f>
        <v>#N/A</v>
      </c>
      <c r="C16" s="84"/>
    </row>
    <row r="17" spans="1:16" x14ac:dyDescent="0.35">
      <c r="A17" s="51" t="s">
        <v>68</v>
      </c>
      <c r="B17" s="13" t="e">
        <f>_xlfn.XLOOKUP($B$3,$B$22:$B$31,$P$22:$P$31)</f>
        <v>#N/A</v>
      </c>
    </row>
    <row r="20" spans="1:16" x14ac:dyDescent="0.35">
      <c r="A20" s="106" t="s">
        <v>43</v>
      </c>
    </row>
    <row r="21" spans="1:16" x14ac:dyDescent="0.35">
      <c r="A21" s="108" t="s">
        <v>44</v>
      </c>
      <c r="B21" s="108" t="s">
        <v>45</v>
      </c>
      <c r="C21" s="108" t="s">
        <v>46</v>
      </c>
      <c r="D21" s="108" t="s">
        <v>47</v>
      </c>
      <c r="E21" s="108" t="s">
        <v>48</v>
      </c>
      <c r="F21" s="108" t="s">
        <v>49</v>
      </c>
      <c r="G21" s="108" t="s">
        <v>50</v>
      </c>
      <c r="H21" s="108" t="s">
        <v>51</v>
      </c>
      <c r="I21" s="108" t="s">
        <v>52</v>
      </c>
      <c r="J21" s="108" t="s">
        <v>53</v>
      </c>
      <c r="K21" s="108" t="s">
        <v>54</v>
      </c>
      <c r="L21" s="108" t="s">
        <v>55</v>
      </c>
      <c r="M21" s="108" t="s">
        <v>56</v>
      </c>
      <c r="N21" s="108" t="s">
        <v>34</v>
      </c>
      <c r="O21" s="108" t="s">
        <v>57</v>
      </c>
      <c r="P21" s="108" t="s">
        <v>58</v>
      </c>
    </row>
    <row r="22" spans="1:16" x14ac:dyDescent="0.35">
      <c r="A22" s="1" t="e" vm="2">
        <f>$S$9</f>
        <v>#VALUE!</v>
      </c>
      <c r="B22" s="1" t="e" vm="2">
        <f>IF($A22="","",($A22-1)&amp;"-"&amp;RIGHT($A22,2))</f>
        <v>#VALUE!</v>
      </c>
      <c r="C22" s="7" t="e" vm="2">
        <f>IF($A22="","",DATE($A22-1,7,1))</f>
        <v>#VALUE!</v>
      </c>
      <c r="D22" s="7" t="e" vm="2">
        <f>IF($A22="","",DATE($A22,6,30))</f>
        <v>#VALUE!</v>
      </c>
      <c r="E22" s="13" t="e" cm="1" vm="2">
        <f t="array" ref="E22">IF($A22="","",SUMPRODUCT(('FIFO Matches'!$G$2:$G$5000&gt;=$C22)*('FIFO Matches'!$G$2:$G$5000&lt;=$D22)*('FIFO Matches'!$O$2:$O$5000="&gt; 1 year")*('FIFO Matches'!$M$2:$M$5000&gt;0)*'FIFO Matches'!$M$2:$M$5000))</f>
        <v>#VALUE!</v>
      </c>
      <c r="F22" s="13" t="e" cm="1" vm="2">
        <f t="array" ref="F22">IF($A22="","",SUMPRODUCT(('FIFO Matches'!$G$2:$G$5000&gt;=$C22)*('FIFO Matches'!$G$2:$G$5000&lt;=$D22)*('FIFO Matches'!$O$2:$O$5000="&lt; 1 year")*('FIFO Matches'!$M$2:$M$5000&gt;0)*'FIFO Matches'!$M$2:$M$5000))</f>
        <v>#VALUE!</v>
      </c>
      <c r="G22" s="13" t="e" cm="1" vm="2">
        <f t="array" ref="G22">IF($A22="","",-SUMPRODUCT(('FIFO Matches'!$G$2:$G$5000&gt;=$C22)*('FIFO Matches'!$G$2:$G$5000&lt;=$D22)*('FIFO Matches'!$M$2:$M$5000&lt;0)*'FIFO Matches'!$M$2:$M$5000))</f>
        <v>#VALUE!</v>
      </c>
      <c r="H22" s="13" t="e" vm="2">
        <f>IF($A22="","",E22+F22-G22)</f>
        <v>#VALUE!</v>
      </c>
      <c r="I22" s="13" t="e" vm="2">
        <f>IF($A22="","",0)</f>
        <v>#VALUE!</v>
      </c>
      <c r="J22" s="13" t="e" vm="2">
        <f>IF($A22="","",MIN(F22,G22+I22))</f>
        <v>#VALUE!</v>
      </c>
      <c r="K22" s="13" t="e" vm="2">
        <f>IF($A22="","",MIN(E22,G22+I22-J22))</f>
        <v>#VALUE!</v>
      </c>
      <c r="L22" s="13" t="e" vm="2">
        <f>IF($A22="","",F22-J22)</f>
        <v>#VALUE!</v>
      </c>
      <c r="M22" s="13" t="e" vm="2">
        <f>IF($A22="","",E22-K22)</f>
        <v>#VALUE!</v>
      </c>
      <c r="N22" s="13" t="e" vm="2">
        <f>IF($A22="","",M22*$B$5)</f>
        <v>#VALUE!</v>
      </c>
      <c r="O22" s="13" t="e" vm="2">
        <f>IF($A22="","",L22+M22-N22)</f>
        <v>#VALUE!</v>
      </c>
      <c r="P22" s="13" t="e" vm="2">
        <f>IF($A22="","",G22+I22-J22-K22)</f>
        <v>#VALUE!</v>
      </c>
    </row>
    <row r="23" spans="1:16" x14ac:dyDescent="0.35">
      <c r="A23" s="1" t="e" vm="2">
        <f>IF(A22="","",IF(A22&lt;$S$10,A22+1,""))</f>
        <v>#VALUE!</v>
      </c>
      <c r="B23" s="1" t="e" vm="2">
        <f>IF($A23="","",($A23-1)&amp;"-"&amp;RIGHT($A23,2))</f>
        <v>#VALUE!</v>
      </c>
      <c r="C23" s="7" t="e" vm="2">
        <f>IF($A23="","",DATE($A23-1,7,1))</f>
        <v>#VALUE!</v>
      </c>
      <c r="D23" s="7" t="e" vm="2">
        <f>IF($A23="","",DATE($A23,6,30))</f>
        <v>#VALUE!</v>
      </c>
      <c r="E23" s="13" t="e" cm="1" vm="2">
        <f t="array" ref="E23">IF($A23="","",SUMPRODUCT(('FIFO Matches'!$G$2:$G$5000&gt;=$C23)*('FIFO Matches'!$G$2:$G$5000&lt;=$D23)*('FIFO Matches'!$O$2:$O$5000="&gt; 1 year")*('FIFO Matches'!$M$2:$M$5000&gt;0)*'FIFO Matches'!$M$2:$M$5000))</f>
        <v>#VALUE!</v>
      </c>
      <c r="F23" s="13" t="e" cm="1" vm="2">
        <f t="array" ref="F23">IF($A23="","",SUMPRODUCT(('FIFO Matches'!$G$2:$G$5000&gt;=$C23)*('FIFO Matches'!$G$2:$G$5000&lt;=$D23)*('FIFO Matches'!$O$2:$O$5000="&lt; 1 year")*('FIFO Matches'!$M$2:$M$5000&gt;0)*'FIFO Matches'!$M$2:$M$5000))</f>
        <v>#VALUE!</v>
      </c>
      <c r="G23" s="13" t="e" cm="1" vm="2">
        <f t="array" ref="G23">IF($A23="","",-SUMPRODUCT(('FIFO Matches'!$G$2:$G$5000&gt;=$C23)*('FIFO Matches'!$G$2:$G$5000&lt;=$D23)*('FIFO Matches'!$M$2:$M$5000&lt;0)*'FIFO Matches'!$M$2:$M$5000))</f>
        <v>#VALUE!</v>
      </c>
      <c r="H23" s="13" t="e" vm="2">
        <f>IF($A23="","",E23+F23-G23)</f>
        <v>#VALUE!</v>
      </c>
      <c r="I23" s="13" t="e" vm="2">
        <f>IF($A23="","",P22)</f>
        <v>#VALUE!</v>
      </c>
      <c r="J23" s="13" t="e" vm="2">
        <f>IF($A23="","",MIN(F23,G23+I23))</f>
        <v>#VALUE!</v>
      </c>
      <c r="K23" s="13" t="e" vm="2">
        <f>IF($A23="","",MIN(E23,G23+I23-J23))</f>
        <v>#VALUE!</v>
      </c>
      <c r="L23" s="13" t="e" vm="2">
        <f>IF($A23="","",F23-J23)</f>
        <v>#VALUE!</v>
      </c>
      <c r="M23" s="13" t="e" vm="2">
        <f>IF($A23="","",E23-K23)</f>
        <v>#VALUE!</v>
      </c>
      <c r="N23" s="13" t="e" vm="2">
        <f>IF($A23="","",M23*$B$5)</f>
        <v>#VALUE!</v>
      </c>
      <c r="O23" s="13" t="e" vm="2">
        <f>IF($A23="","",L23+M23-N23)</f>
        <v>#VALUE!</v>
      </c>
      <c r="P23" s="13" t="e" vm="2">
        <f>IF($A23="","",G23+I23-J23-K23)</f>
        <v>#VALUE!</v>
      </c>
    </row>
    <row r="24" spans="1:16" x14ac:dyDescent="0.35">
      <c r="A24" s="1" t="e" vm="2">
        <f t="shared" ref="A24:A31" si="0">IF(A23="","",IF(A23&lt;$S$10,A23+1,""))</f>
        <v>#VALUE!</v>
      </c>
      <c r="B24" s="1" t="e" vm="2">
        <f t="shared" ref="B24:B31" si="1">IF($A24="","",($A24-1)&amp;"-"&amp;RIGHT($A24,2))</f>
        <v>#VALUE!</v>
      </c>
      <c r="C24" s="7" t="e" vm="2">
        <f t="shared" ref="C24:C31" si="2">IF($A24="","",DATE($A24-1,7,1))</f>
        <v>#VALUE!</v>
      </c>
      <c r="D24" s="7" t="e" vm="2">
        <f t="shared" ref="D24:D31" si="3">IF($A24="","",DATE($A24,6,30))</f>
        <v>#VALUE!</v>
      </c>
      <c r="E24" s="13" t="e" cm="1" vm="2">
        <f t="array" ref="E24">IF($A24="","",SUMPRODUCT(('FIFO Matches'!$G$2:$G$5000&gt;=$C24)*('FIFO Matches'!$G$2:$G$5000&lt;=$D24)*('FIFO Matches'!$O$2:$O$5000="&gt; 1 year")*('FIFO Matches'!$M$2:$M$5000&gt;0)*'FIFO Matches'!$M$2:$M$5000))</f>
        <v>#VALUE!</v>
      </c>
      <c r="F24" s="13" t="e" cm="1" vm="2">
        <f t="array" ref="F24">IF($A24="","",SUMPRODUCT(('FIFO Matches'!$G$2:$G$5000&gt;=$C24)*('FIFO Matches'!$G$2:$G$5000&lt;=$D24)*('FIFO Matches'!$O$2:$O$5000="&lt; 1 year")*('FIFO Matches'!$M$2:$M$5000&gt;0)*'FIFO Matches'!$M$2:$M$5000))</f>
        <v>#VALUE!</v>
      </c>
      <c r="G24" s="13" t="e" cm="1" vm="2">
        <f t="array" ref="G24">IF($A24="","",-SUMPRODUCT(('FIFO Matches'!$G$2:$G$5000&gt;=$C24)*('FIFO Matches'!$G$2:$G$5000&lt;=$D24)*('FIFO Matches'!$M$2:$M$5000&lt;0)*'FIFO Matches'!$M$2:$M$5000))</f>
        <v>#VALUE!</v>
      </c>
      <c r="H24" s="13" t="e" vm="2">
        <f t="shared" ref="H24:H31" si="4">IF($A24="","",E24+F24-G24)</f>
        <v>#VALUE!</v>
      </c>
      <c r="I24" s="13" t="e" vm="2">
        <f t="shared" ref="I24:I31" si="5">IF($A24="","",P23)</f>
        <v>#VALUE!</v>
      </c>
      <c r="J24" s="13" t="e" vm="2">
        <f t="shared" ref="J24:J31" si="6">IF($A24="","",MIN(F24,G24+I24))</f>
        <v>#VALUE!</v>
      </c>
      <c r="K24" s="13" t="e" vm="2">
        <f t="shared" ref="K24:K31" si="7">IF($A24="","",MIN(E24,G24+I24-J24))</f>
        <v>#VALUE!</v>
      </c>
      <c r="L24" s="13" t="e" vm="2">
        <f t="shared" ref="L24:L31" si="8">IF($A24="","",F24-J24)</f>
        <v>#VALUE!</v>
      </c>
      <c r="M24" s="13" t="e" vm="2">
        <f t="shared" ref="M24:M31" si="9">IF($A24="","",E24-K24)</f>
        <v>#VALUE!</v>
      </c>
      <c r="N24" s="13" t="e" vm="2">
        <f t="shared" ref="N24:N31" si="10">IF($A24="","",M24*$B$5)</f>
        <v>#VALUE!</v>
      </c>
      <c r="O24" s="13" t="e" vm="2">
        <f t="shared" ref="O24:O31" si="11">IF($A24="","",L24+M24-N24)</f>
        <v>#VALUE!</v>
      </c>
      <c r="P24" s="13" t="e" vm="2">
        <f t="shared" ref="P24:P31" si="12">IF($A24="","",G24+I24-J24-K24)</f>
        <v>#VALUE!</v>
      </c>
    </row>
    <row r="25" spans="1:16" x14ac:dyDescent="0.35">
      <c r="A25" s="1" t="e" vm="2">
        <f t="shared" si="0"/>
        <v>#VALUE!</v>
      </c>
      <c r="B25" s="1" t="e" vm="2">
        <f t="shared" si="1"/>
        <v>#VALUE!</v>
      </c>
      <c r="C25" s="7" t="e" vm="2">
        <f t="shared" si="2"/>
        <v>#VALUE!</v>
      </c>
      <c r="D25" s="7" t="e" vm="2">
        <f t="shared" si="3"/>
        <v>#VALUE!</v>
      </c>
      <c r="E25" s="13" t="e" cm="1" vm="2">
        <f t="array" ref="E25">IF($A25="","",SUMPRODUCT(('FIFO Matches'!$G$2:$G$5000&gt;=$C25)*('FIFO Matches'!$G$2:$G$5000&lt;=$D25)*('FIFO Matches'!$O$2:$O$5000="&gt; 1 year")*('FIFO Matches'!$M$2:$M$5000&gt;0)*'FIFO Matches'!$M$2:$M$5000))</f>
        <v>#VALUE!</v>
      </c>
      <c r="F25" s="13" t="e" cm="1" vm="2">
        <f t="array" ref="F25">IF($A25="","",SUMPRODUCT(('FIFO Matches'!$G$2:$G$5000&gt;=$C25)*('FIFO Matches'!$G$2:$G$5000&lt;=$D25)*('FIFO Matches'!$O$2:$O$5000="&lt; 1 year")*('FIFO Matches'!$M$2:$M$5000&gt;0)*'FIFO Matches'!$M$2:$M$5000))</f>
        <v>#VALUE!</v>
      </c>
      <c r="G25" s="13" t="e" cm="1" vm="2">
        <f t="array" ref="G25">IF($A25="","",-SUMPRODUCT(('FIFO Matches'!$G$2:$G$5000&gt;=$C25)*('FIFO Matches'!$G$2:$G$5000&lt;=$D25)*('FIFO Matches'!$M$2:$M$5000&lt;0)*'FIFO Matches'!$M$2:$M$5000))</f>
        <v>#VALUE!</v>
      </c>
      <c r="H25" s="13" t="e" vm="2">
        <f t="shared" si="4"/>
        <v>#VALUE!</v>
      </c>
      <c r="I25" s="13" t="e" vm="2">
        <f t="shared" si="5"/>
        <v>#VALUE!</v>
      </c>
      <c r="J25" s="13" t="e" vm="2">
        <f t="shared" si="6"/>
        <v>#VALUE!</v>
      </c>
      <c r="K25" s="13" t="e" vm="2">
        <f t="shared" si="7"/>
        <v>#VALUE!</v>
      </c>
      <c r="L25" s="13" t="e" vm="2">
        <f t="shared" si="8"/>
        <v>#VALUE!</v>
      </c>
      <c r="M25" s="13" t="e" vm="2">
        <f t="shared" si="9"/>
        <v>#VALUE!</v>
      </c>
      <c r="N25" s="13" t="e" vm="2">
        <f t="shared" si="10"/>
        <v>#VALUE!</v>
      </c>
      <c r="O25" s="13" t="e" vm="2">
        <f t="shared" si="11"/>
        <v>#VALUE!</v>
      </c>
      <c r="P25" s="13" t="e" vm="2">
        <f t="shared" si="12"/>
        <v>#VALUE!</v>
      </c>
    </row>
    <row r="26" spans="1:16" x14ac:dyDescent="0.35">
      <c r="A26" s="1" t="e" vm="2">
        <f t="shared" si="0"/>
        <v>#VALUE!</v>
      </c>
      <c r="B26" s="1" t="e" vm="2">
        <f t="shared" si="1"/>
        <v>#VALUE!</v>
      </c>
      <c r="C26" s="7" t="e" vm="2">
        <f t="shared" si="2"/>
        <v>#VALUE!</v>
      </c>
      <c r="D26" s="7" t="e" vm="2">
        <f t="shared" si="3"/>
        <v>#VALUE!</v>
      </c>
      <c r="E26" s="13" t="e" cm="1" vm="2">
        <f t="array" ref="E26">IF($A26="","",SUMPRODUCT(('FIFO Matches'!$G$2:$G$5000&gt;=$C26)*('FIFO Matches'!$G$2:$G$5000&lt;=$D26)*('FIFO Matches'!$O$2:$O$5000="&gt; 1 year")*('FIFO Matches'!$M$2:$M$5000&gt;0)*'FIFO Matches'!$M$2:$M$5000))</f>
        <v>#VALUE!</v>
      </c>
      <c r="F26" s="13" t="e" cm="1" vm="2">
        <f t="array" ref="F26">IF($A26="","",SUMPRODUCT(('FIFO Matches'!$G$2:$G$5000&gt;=$C26)*('FIFO Matches'!$G$2:$G$5000&lt;=$D26)*('FIFO Matches'!$O$2:$O$5000="&lt; 1 year")*('FIFO Matches'!$M$2:$M$5000&gt;0)*'FIFO Matches'!$M$2:$M$5000))</f>
        <v>#VALUE!</v>
      </c>
      <c r="G26" s="13" t="e" cm="1" vm="2">
        <f t="array" ref="G26">IF($A26="","",-SUMPRODUCT(('FIFO Matches'!$G$2:$G$5000&gt;=$C26)*('FIFO Matches'!$G$2:$G$5000&lt;=$D26)*('FIFO Matches'!$M$2:$M$5000&lt;0)*'FIFO Matches'!$M$2:$M$5000))</f>
        <v>#VALUE!</v>
      </c>
      <c r="H26" s="13" t="e" vm="2">
        <f t="shared" si="4"/>
        <v>#VALUE!</v>
      </c>
      <c r="I26" s="13" t="e" vm="2">
        <f t="shared" si="5"/>
        <v>#VALUE!</v>
      </c>
      <c r="J26" s="13" t="e" vm="2">
        <f t="shared" si="6"/>
        <v>#VALUE!</v>
      </c>
      <c r="K26" s="13" t="e" vm="2">
        <f t="shared" si="7"/>
        <v>#VALUE!</v>
      </c>
      <c r="L26" s="13" t="e" vm="2">
        <f t="shared" si="8"/>
        <v>#VALUE!</v>
      </c>
      <c r="M26" s="13" t="e" vm="2">
        <f t="shared" si="9"/>
        <v>#VALUE!</v>
      </c>
      <c r="N26" s="13" t="e" vm="2">
        <f t="shared" si="10"/>
        <v>#VALUE!</v>
      </c>
      <c r="O26" s="13" t="e" vm="2">
        <f t="shared" si="11"/>
        <v>#VALUE!</v>
      </c>
      <c r="P26" s="13" t="e" vm="2">
        <f t="shared" si="12"/>
        <v>#VALUE!</v>
      </c>
    </row>
    <row r="27" spans="1:16" x14ac:dyDescent="0.35">
      <c r="A27" s="1" t="e" vm="2">
        <f t="shared" si="0"/>
        <v>#VALUE!</v>
      </c>
      <c r="B27" s="1" t="e" vm="2">
        <f t="shared" si="1"/>
        <v>#VALUE!</v>
      </c>
      <c r="C27" s="7" t="e" vm="2">
        <f t="shared" si="2"/>
        <v>#VALUE!</v>
      </c>
      <c r="D27" s="7" t="e" vm="2">
        <f t="shared" si="3"/>
        <v>#VALUE!</v>
      </c>
      <c r="E27" s="13" t="e" cm="1" vm="2">
        <f t="array" ref="E27">IF($A27="","",SUMPRODUCT(('FIFO Matches'!$G$2:$G$5000&gt;=$C27)*('FIFO Matches'!$G$2:$G$5000&lt;=$D27)*('FIFO Matches'!$O$2:$O$5000="&gt; 1 year")*('FIFO Matches'!$M$2:$M$5000&gt;0)*'FIFO Matches'!$M$2:$M$5000))</f>
        <v>#VALUE!</v>
      </c>
      <c r="F27" s="13" t="e" cm="1" vm="2">
        <f t="array" ref="F27">IF($A27="","",SUMPRODUCT(('FIFO Matches'!$G$2:$G$5000&gt;=$C27)*('FIFO Matches'!$G$2:$G$5000&lt;=$D27)*('FIFO Matches'!$O$2:$O$5000="&lt; 1 year")*('FIFO Matches'!$M$2:$M$5000&gt;0)*'FIFO Matches'!$M$2:$M$5000))</f>
        <v>#VALUE!</v>
      </c>
      <c r="G27" s="13" t="e" cm="1" vm="2">
        <f t="array" ref="G27">IF($A27="","",-SUMPRODUCT(('FIFO Matches'!$G$2:$G$5000&gt;=$C27)*('FIFO Matches'!$G$2:$G$5000&lt;=$D27)*('FIFO Matches'!$M$2:$M$5000&lt;0)*'FIFO Matches'!$M$2:$M$5000))</f>
        <v>#VALUE!</v>
      </c>
      <c r="H27" s="13" t="e" vm="2">
        <f t="shared" si="4"/>
        <v>#VALUE!</v>
      </c>
      <c r="I27" s="13" t="e" vm="2">
        <f t="shared" si="5"/>
        <v>#VALUE!</v>
      </c>
      <c r="J27" s="13" t="e" vm="2">
        <f t="shared" si="6"/>
        <v>#VALUE!</v>
      </c>
      <c r="K27" s="13" t="e" vm="2">
        <f t="shared" si="7"/>
        <v>#VALUE!</v>
      </c>
      <c r="L27" s="13" t="e" vm="2">
        <f t="shared" si="8"/>
        <v>#VALUE!</v>
      </c>
      <c r="M27" s="13" t="e" vm="2">
        <f t="shared" si="9"/>
        <v>#VALUE!</v>
      </c>
      <c r="N27" s="13" t="e" vm="2">
        <f t="shared" si="10"/>
        <v>#VALUE!</v>
      </c>
      <c r="O27" s="13" t="e" vm="2">
        <f t="shared" si="11"/>
        <v>#VALUE!</v>
      </c>
      <c r="P27" s="13" t="e" vm="2">
        <f t="shared" si="12"/>
        <v>#VALUE!</v>
      </c>
    </row>
    <row r="28" spans="1:16" x14ac:dyDescent="0.35">
      <c r="A28" s="1" t="e" vm="2">
        <f t="shared" si="0"/>
        <v>#VALUE!</v>
      </c>
      <c r="B28" s="1" t="e" vm="2">
        <f t="shared" si="1"/>
        <v>#VALUE!</v>
      </c>
      <c r="C28" s="9" t="e" vm="2">
        <f t="shared" si="2"/>
        <v>#VALUE!</v>
      </c>
      <c r="D28" s="9" t="e" vm="2">
        <f t="shared" si="3"/>
        <v>#VALUE!</v>
      </c>
      <c r="E28" s="13" t="e" cm="1" vm="2">
        <f t="array" ref="E28">IF($A28="","",SUMPRODUCT(('FIFO Matches'!$G$2:$G$5000&gt;=$C28)*('FIFO Matches'!$G$2:$G$5000&lt;=$D28)*('FIFO Matches'!$O$2:$O$5000="&gt; 1 year")*('FIFO Matches'!$M$2:$M$5000&gt;0)*'FIFO Matches'!$M$2:$M$5000))</f>
        <v>#VALUE!</v>
      </c>
      <c r="F28" s="13" t="e" cm="1" vm="2">
        <f t="array" ref="F28">IF($A28="","",SUMPRODUCT(('FIFO Matches'!$G$2:$G$5000&gt;=$C28)*('FIFO Matches'!$G$2:$G$5000&lt;=$D28)*('FIFO Matches'!$O$2:$O$5000="&lt; 1 year")*('FIFO Matches'!$M$2:$M$5000&gt;0)*'FIFO Matches'!$M$2:$M$5000))</f>
        <v>#VALUE!</v>
      </c>
      <c r="G28" s="13" t="e" cm="1" vm="2">
        <f t="array" ref="G28">IF($A28="","",-SUMPRODUCT(('FIFO Matches'!$G$2:$G$5000&gt;=$C28)*('FIFO Matches'!$G$2:$G$5000&lt;=$D28)*('FIFO Matches'!$M$2:$M$5000&lt;0)*'FIFO Matches'!$M$2:$M$5000))</f>
        <v>#VALUE!</v>
      </c>
      <c r="H28" s="13" t="e" vm="2">
        <f t="shared" si="4"/>
        <v>#VALUE!</v>
      </c>
      <c r="I28" s="13" t="e" vm="2">
        <f t="shared" si="5"/>
        <v>#VALUE!</v>
      </c>
      <c r="J28" s="13" t="e" vm="2">
        <f t="shared" si="6"/>
        <v>#VALUE!</v>
      </c>
      <c r="K28" s="13" t="e" vm="2">
        <f t="shared" si="7"/>
        <v>#VALUE!</v>
      </c>
      <c r="L28" s="13" t="e" vm="2">
        <f t="shared" si="8"/>
        <v>#VALUE!</v>
      </c>
      <c r="M28" s="13" t="e" vm="2">
        <f t="shared" si="9"/>
        <v>#VALUE!</v>
      </c>
      <c r="N28" s="13" t="e" vm="2">
        <f t="shared" si="10"/>
        <v>#VALUE!</v>
      </c>
      <c r="O28" s="13" t="e" vm="2">
        <f t="shared" si="11"/>
        <v>#VALUE!</v>
      </c>
      <c r="P28" s="13" t="e" vm="2">
        <f t="shared" si="12"/>
        <v>#VALUE!</v>
      </c>
    </row>
    <row r="29" spans="1:16" x14ac:dyDescent="0.35">
      <c r="A29" s="1" t="e" vm="2">
        <f t="shared" si="0"/>
        <v>#VALUE!</v>
      </c>
      <c r="B29" s="1" t="e" vm="2">
        <f t="shared" si="1"/>
        <v>#VALUE!</v>
      </c>
      <c r="C29" s="9" t="e" vm="2">
        <f t="shared" si="2"/>
        <v>#VALUE!</v>
      </c>
      <c r="D29" s="9" t="e" vm="2">
        <f t="shared" si="3"/>
        <v>#VALUE!</v>
      </c>
      <c r="E29" s="13" t="e" cm="1" vm="2">
        <f t="array" ref="E29">IF($A29="","",SUMPRODUCT(('FIFO Matches'!$G$2:$G$5000&gt;=$C29)*('FIFO Matches'!$G$2:$G$5000&lt;=$D29)*('FIFO Matches'!$O$2:$O$5000="&gt; 1 year")*('FIFO Matches'!$M$2:$M$5000&gt;0)*'FIFO Matches'!$M$2:$M$5000))</f>
        <v>#VALUE!</v>
      </c>
      <c r="F29" s="13" t="e" cm="1" vm="2">
        <f t="array" ref="F29">IF($A29="","",SUMPRODUCT(('FIFO Matches'!$G$2:$G$5000&gt;=$C29)*('FIFO Matches'!$G$2:$G$5000&lt;=$D29)*('FIFO Matches'!$O$2:$O$5000="&lt; 1 year")*('FIFO Matches'!$M$2:$M$5000&gt;0)*'FIFO Matches'!$M$2:$M$5000))</f>
        <v>#VALUE!</v>
      </c>
      <c r="G29" s="13" t="e" cm="1" vm="2">
        <f t="array" ref="G29">IF($A29="","",-SUMPRODUCT(('FIFO Matches'!$G$2:$G$5000&gt;=$C29)*('FIFO Matches'!$G$2:$G$5000&lt;=$D29)*('FIFO Matches'!$M$2:$M$5000&lt;0)*'FIFO Matches'!$M$2:$M$5000))</f>
        <v>#VALUE!</v>
      </c>
      <c r="H29" s="13" t="e" vm="2">
        <f t="shared" si="4"/>
        <v>#VALUE!</v>
      </c>
      <c r="I29" s="13" t="e" vm="2">
        <f t="shared" si="5"/>
        <v>#VALUE!</v>
      </c>
      <c r="J29" s="13" t="e" vm="2">
        <f t="shared" si="6"/>
        <v>#VALUE!</v>
      </c>
      <c r="K29" s="13" t="e" vm="2">
        <f t="shared" si="7"/>
        <v>#VALUE!</v>
      </c>
      <c r="L29" s="13" t="e" vm="2">
        <f t="shared" si="8"/>
        <v>#VALUE!</v>
      </c>
      <c r="M29" s="13" t="e" vm="2">
        <f t="shared" si="9"/>
        <v>#VALUE!</v>
      </c>
      <c r="N29" s="13" t="e" vm="2">
        <f t="shared" si="10"/>
        <v>#VALUE!</v>
      </c>
      <c r="O29" s="13" t="e" vm="2">
        <f t="shared" si="11"/>
        <v>#VALUE!</v>
      </c>
      <c r="P29" s="13" t="e" vm="2">
        <f t="shared" si="12"/>
        <v>#VALUE!</v>
      </c>
    </row>
    <row r="30" spans="1:16" x14ac:dyDescent="0.35">
      <c r="A30" s="1" t="e" vm="2">
        <f t="shared" si="0"/>
        <v>#VALUE!</v>
      </c>
      <c r="B30" s="1" t="e" vm="2">
        <f t="shared" si="1"/>
        <v>#VALUE!</v>
      </c>
      <c r="C30" s="9" t="e" vm="2">
        <f t="shared" si="2"/>
        <v>#VALUE!</v>
      </c>
      <c r="D30" s="9" t="e" vm="2">
        <f t="shared" si="3"/>
        <v>#VALUE!</v>
      </c>
      <c r="E30" s="13" t="e" cm="1" vm="2">
        <f t="array" ref="E30">IF($A30="","",SUMPRODUCT(('FIFO Matches'!$G$2:$G$5000&gt;=$C30)*('FIFO Matches'!$G$2:$G$5000&lt;=$D30)*('FIFO Matches'!$O$2:$O$5000="&gt; 1 year")*('FIFO Matches'!$M$2:$M$5000&gt;0)*'FIFO Matches'!$M$2:$M$5000))</f>
        <v>#VALUE!</v>
      </c>
      <c r="F30" s="13" t="e" cm="1" vm="2">
        <f t="array" ref="F30">IF($A30="","",SUMPRODUCT(('FIFO Matches'!$G$2:$G$5000&gt;=$C30)*('FIFO Matches'!$G$2:$G$5000&lt;=$D30)*('FIFO Matches'!$O$2:$O$5000="&lt; 1 year")*('FIFO Matches'!$M$2:$M$5000&gt;0)*'FIFO Matches'!$M$2:$M$5000))</f>
        <v>#VALUE!</v>
      </c>
      <c r="G30" s="13" t="e" cm="1" vm="2">
        <f t="array" ref="G30">IF($A30="","",-SUMPRODUCT(('FIFO Matches'!$G$2:$G$5000&gt;=$C30)*('FIFO Matches'!$G$2:$G$5000&lt;=$D30)*('FIFO Matches'!$M$2:$M$5000&lt;0)*'FIFO Matches'!$M$2:$M$5000))</f>
        <v>#VALUE!</v>
      </c>
      <c r="H30" s="13" t="e" vm="2">
        <f t="shared" si="4"/>
        <v>#VALUE!</v>
      </c>
      <c r="I30" s="13" t="e" vm="2">
        <f t="shared" si="5"/>
        <v>#VALUE!</v>
      </c>
      <c r="J30" s="13" t="e" vm="2">
        <f t="shared" si="6"/>
        <v>#VALUE!</v>
      </c>
      <c r="K30" s="13" t="e" vm="2">
        <f t="shared" si="7"/>
        <v>#VALUE!</v>
      </c>
      <c r="L30" s="13" t="e" vm="2">
        <f t="shared" si="8"/>
        <v>#VALUE!</v>
      </c>
      <c r="M30" s="13" t="e" vm="2">
        <f t="shared" si="9"/>
        <v>#VALUE!</v>
      </c>
      <c r="N30" s="13" t="e" vm="2">
        <f t="shared" si="10"/>
        <v>#VALUE!</v>
      </c>
      <c r="O30" s="13" t="e" vm="2">
        <f t="shared" si="11"/>
        <v>#VALUE!</v>
      </c>
      <c r="P30" s="13" t="e" vm="2">
        <f t="shared" si="12"/>
        <v>#VALUE!</v>
      </c>
    </row>
    <row r="31" spans="1:16" x14ac:dyDescent="0.35">
      <c r="A31" s="1" t="e" vm="2">
        <f t="shared" si="0"/>
        <v>#VALUE!</v>
      </c>
      <c r="B31" s="1" t="e" vm="2">
        <f t="shared" si="1"/>
        <v>#VALUE!</v>
      </c>
      <c r="C31" s="9" t="e" vm="2">
        <f t="shared" si="2"/>
        <v>#VALUE!</v>
      </c>
      <c r="D31" s="9" t="e" vm="2">
        <f t="shared" si="3"/>
        <v>#VALUE!</v>
      </c>
      <c r="E31" s="13" t="e" cm="1" vm="2">
        <f t="array" ref="E31">IF($A31="","",SUMPRODUCT(('FIFO Matches'!$G$2:$G$5000&gt;=$C31)*('FIFO Matches'!$G$2:$G$5000&lt;=$D31)*('FIFO Matches'!$O$2:$O$5000="&gt; 1 year")*('FIFO Matches'!$M$2:$M$5000&gt;0)*'FIFO Matches'!$M$2:$M$5000))</f>
        <v>#VALUE!</v>
      </c>
      <c r="F31" s="13" t="e" cm="1" vm="2">
        <f t="array" ref="F31">IF($A31="","",SUMPRODUCT(('FIFO Matches'!$G$2:$G$5000&gt;=$C31)*('FIFO Matches'!$G$2:$G$5000&lt;=$D31)*('FIFO Matches'!$O$2:$O$5000="&lt; 1 year")*('FIFO Matches'!$M$2:$M$5000&gt;0)*'FIFO Matches'!$M$2:$M$5000))</f>
        <v>#VALUE!</v>
      </c>
      <c r="G31" s="13" t="e" cm="1" vm="2">
        <f t="array" ref="G31">IF($A31="","",-SUMPRODUCT(('FIFO Matches'!$G$2:$G$5000&gt;=$C31)*('FIFO Matches'!$G$2:$G$5000&lt;=$D31)*('FIFO Matches'!$M$2:$M$5000&lt;0)*'FIFO Matches'!$M$2:$M$5000))</f>
        <v>#VALUE!</v>
      </c>
      <c r="H31" s="13" t="e" vm="2">
        <f t="shared" si="4"/>
        <v>#VALUE!</v>
      </c>
      <c r="I31" s="13" t="e" vm="2">
        <f t="shared" si="5"/>
        <v>#VALUE!</v>
      </c>
      <c r="J31" s="13" t="e" vm="2">
        <f t="shared" si="6"/>
        <v>#VALUE!</v>
      </c>
      <c r="K31" s="13" t="e" vm="2">
        <f t="shared" si="7"/>
        <v>#VALUE!</v>
      </c>
      <c r="L31" s="13" t="e" vm="2">
        <f t="shared" si="8"/>
        <v>#VALUE!</v>
      </c>
      <c r="M31" s="13" t="e" vm="2">
        <f t="shared" si="9"/>
        <v>#VALUE!</v>
      </c>
      <c r="N31" s="13" t="e" vm="2">
        <f t="shared" si="10"/>
        <v>#VALUE!</v>
      </c>
      <c r="O31" s="13" t="e" vm="2">
        <f t="shared" si="11"/>
        <v>#VALUE!</v>
      </c>
      <c r="P31" s="13" t="e" vm="2">
        <f t="shared" si="12"/>
        <v>#VALUE!</v>
      </c>
    </row>
  </sheetData>
  <sheetProtection formatCells="0" formatColumns="0" formatRows="0" insertRows="0" deleteRows="0" sort="0" autoFilter="0"/>
  <mergeCells count="1">
    <mergeCell ref="A6:H6"/>
  </mergeCells>
  <conditionalFormatting sqref="A1:S31">
    <cfRule type="expression" dxfId="9" priority="2">
      <formula>AND(ISERROR(A1),NoTradeData)</formula>
    </cfRule>
  </conditionalFormatting>
  <conditionalFormatting sqref="B16">
    <cfRule type="expression" dxfId="0" priority="1">
      <formula>AND(ISERROR(B16),NoTradeData)</formula>
    </cfRule>
  </conditionalFormatting>
  <dataValidations count="2">
    <dataValidation type="list" allowBlank="1" showInputMessage="1" showErrorMessage="1" sqref="B3" xr:uid="{872F930E-14C6-4533-9DF5-E338BEABFA3B}">
      <formula1>_xlfn.ANCHORARRAY($S$12)</formula1>
    </dataValidation>
    <dataValidation type="list" allowBlank="1" showInputMessage="1" showErrorMessage="1" sqref="B4" xr:uid="{863BF8BE-B0B3-4EA3-A727-4577CCF47F17}">
      <formula1>$R$4:$R$7</formula1>
    </dataValidation>
  </dataValidations>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18E3F-FD89-4FE6-873E-40F4D05208D4}">
  <sheetPr>
    <tabColor theme="9" tint="0.79998168889431442"/>
  </sheetPr>
  <dimension ref="A1:V128"/>
  <sheetViews>
    <sheetView workbookViewId="0">
      <pane ySplit="4" topLeftCell="A67" activePane="bottomLeft" state="frozen"/>
      <selection activeCell="C168" sqref="C168"/>
      <selection pane="bottomLeft" activeCell="C168" sqref="C168"/>
    </sheetView>
  </sheetViews>
  <sheetFormatPr defaultRowHeight="14.5" x14ac:dyDescent="0.35"/>
  <cols>
    <col min="1" max="1" width="14.1796875" style="25" customWidth="1"/>
    <col min="2" max="2" width="25.26953125" style="25" bestFit="1" customWidth="1"/>
    <col min="3" max="3" width="5.90625" style="25" bestFit="1" customWidth="1"/>
    <col min="4" max="4" width="12" style="25" customWidth="1"/>
    <col min="5" max="5" width="13.453125" style="25" customWidth="1"/>
    <col min="6" max="6" width="14.90625" style="25" customWidth="1"/>
    <col min="7" max="7" width="13.453125" style="25" customWidth="1"/>
    <col min="8" max="8" width="12" style="25" customWidth="1"/>
    <col min="9" max="10" width="13.453125" style="25" customWidth="1"/>
    <col min="11" max="13" width="14.90625" style="25" customWidth="1"/>
    <col min="14" max="14" width="10.90625" style="25" customWidth="1"/>
    <col min="15" max="15" width="14.1796875" style="25" customWidth="1"/>
    <col min="16" max="16" width="12.54296875" style="25" customWidth="1"/>
    <col min="17" max="17" width="14.1796875" style="25" customWidth="1"/>
    <col min="18" max="18" width="10.1796875" style="25" customWidth="1"/>
    <col min="19" max="20" width="16" style="25" customWidth="1"/>
    <col min="21" max="21" width="14.90625" style="25" customWidth="1"/>
    <col min="22" max="22" width="16.7265625" style="25" customWidth="1"/>
    <col min="23" max="16384" width="8.7265625" style="25"/>
  </cols>
  <sheetData>
    <row r="1" spans="1:22" ht="18.5" x14ac:dyDescent="0.45">
      <c r="A1" s="100" t="s">
        <v>136</v>
      </c>
    </row>
    <row r="2" spans="1:22" x14ac:dyDescent="0.35">
      <c r="A2" s="102" t="s">
        <v>137</v>
      </c>
    </row>
    <row r="3" spans="1:22" x14ac:dyDescent="0.35">
      <c r="Q3" s="102" t="s">
        <v>138</v>
      </c>
    </row>
    <row r="4" spans="1:22" ht="29.5" thickBot="1" x14ac:dyDescent="0.4">
      <c r="A4" s="109" t="s">
        <v>41</v>
      </c>
      <c r="B4" s="109" t="s">
        <v>153</v>
      </c>
      <c r="C4" s="109" t="s">
        <v>13</v>
      </c>
      <c r="D4" s="109" t="s">
        <v>16</v>
      </c>
      <c r="E4" s="109" t="s">
        <v>20</v>
      </c>
      <c r="F4" s="109" t="s">
        <v>21</v>
      </c>
      <c r="G4" s="109" t="s">
        <v>22</v>
      </c>
      <c r="H4" s="109" t="s">
        <v>23</v>
      </c>
      <c r="I4" s="109" t="s">
        <v>24</v>
      </c>
      <c r="J4" s="109" t="s">
        <v>25</v>
      </c>
      <c r="K4" s="109" t="s">
        <v>26</v>
      </c>
      <c r="L4" s="109" t="s">
        <v>27</v>
      </c>
      <c r="M4" s="109" t="s">
        <v>28</v>
      </c>
      <c r="N4" s="109" t="s">
        <v>29</v>
      </c>
      <c r="O4" s="109" t="s">
        <v>30</v>
      </c>
      <c r="P4" s="110" t="s">
        <v>31</v>
      </c>
      <c r="Q4" s="110" t="s">
        <v>41</v>
      </c>
      <c r="R4" s="110" t="s">
        <v>139</v>
      </c>
      <c r="S4" s="110" t="s">
        <v>140</v>
      </c>
      <c r="T4" s="110" t="s">
        <v>141</v>
      </c>
      <c r="U4" s="110" t="s">
        <v>50</v>
      </c>
      <c r="V4" s="110" t="s">
        <v>142</v>
      </c>
    </row>
    <row r="5" spans="1:22" x14ac:dyDescent="0.35">
      <c r="A5" s="3" t="e" cm="1">
        <f t="array" ref="A5">_xlfn.LET(_xlpm.m,_xlfn.ANCHORARRAY('FIFO Matches'!A2),_xlpm.saleDate,_xlfn.CHOOSECOLS(_xlpm.m,7),_xlpm.fyEnd,YEAR(_xlpm.saleDate)+(MONTH(_xlpm.saleDate)&gt;=7),_xlpm.fyLabel,(_xlpm.fyEnd-1)&amp;"-"&amp;RIGHT(_xlpm.fyEnd,2),_xlpm.out,_xlfn.HSTACK(_xlpm.fyLabel,_xlpm.m),_xlfn.SORTBY(_xlpm.out,_xlpm.fyLabel,1,_xlfn.CHOOSECOLS(_xlpm.m,1),1,_xlfn.CHOOSECOLS(_xlpm.m,2),1))</f>
        <v>#VALUE!</v>
      </c>
      <c r="D5" s="97"/>
      <c r="H5" s="97"/>
      <c r="K5" s="99"/>
      <c r="L5" s="99"/>
      <c r="M5" s="99"/>
      <c r="N5" s="99"/>
      <c r="Q5" s="1" t="e" cm="1">
        <f t="array" ref="Q5:Q6">_xlfn.LET(_xlpm.fy,_xlfn.CHOOSECOLS(_xlfn.ANCHORARRAY($A$5),1),_xlfn.VSTACK(_xlfn._xlws.SORT(_xlfn.UNIQUE(_xlpm.fy)),"TOTAL"))</f>
        <v>#VALUE!</v>
      </c>
      <c r="R5" s="4" t="e" cm="1">
        <f t="array" ref="R5:R6">_xlfn.LET(_xlpm.fy,_xlfn.CHOOSECOLS(_xlfn.ANCHORARRAY($A$5),1),_xlfn.BYROW(_xlfn.ANCHORARRAY($Q$5),_xlfn.LAMBDA(_xlpm.f,IF(_xlpm.f="TOTAL",ROWS(_xlpm.fy),SUMPRODUCT(--(_xlpm.fy=_xlpm.f))))))</f>
        <v>#VALUE!</v>
      </c>
      <c r="S5" s="17" t="e" cm="1">
        <f t="array" ref="S5:S6">_xlfn.LET(_xlpm.fy,_xlfn.CHOOSECOLS(_xlfn.ANCHORARRAY($A$5),1),_xlpm.g,_xlfn.CHOOSECOLS(_xlfn.ANCHORARRAY($A$5),14),_xlpm.cl,_xlfn.CHOOSECOLS(_xlfn.ANCHORARRAY($A$5),16),_xlfn.BYROW(_xlfn.ANCHORARRAY($Q$5),_xlfn.LAMBDA(_xlpm.f,SUMPRODUCT(((_xlpm.fy=_xlpm.f)+(_xlpm.f="TOTAL"))*(_xlpm.cl="&gt; 1 year")*(_xlpm.g&gt;0)*_xlpm.g))))</f>
        <v>#VALUE!</v>
      </c>
      <c r="T5" s="17" t="e" cm="1">
        <f t="array" ref="T5:T6">_xlfn.LET(_xlpm.fy,_xlfn.CHOOSECOLS(_xlfn.ANCHORARRAY($A$5),1),_xlpm.g,_xlfn.CHOOSECOLS(_xlfn.ANCHORARRAY($A$5),14),_xlpm.cl,_xlfn.CHOOSECOLS(_xlfn.ANCHORARRAY($A$5),16),_xlfn.BYROW(_xlfn.ANCHORARRAY($Q$5),_xlfn.LAMBDA(_xlpm.f,SUMPRODUCT(((_xlpm.fy=_xlpm.f)+(_xlpm.f="TOTAL"))*(_xlpm.cl="&lt; 1 year")*(_xlpm.g&gt;0)*_xlpm.g))))</f>
        <v>#VALUE!</v>
      </c>
      <c r="U5" s="17" t="e" cm="1">
        <f t="array" ref="U5:U6">_xlfn.LET(_xlpm.fy,_xlfn.CHOOSECOLS(_xlfn.ANCHORARRAY($A$5),1),_xlpm.g,_xlfn.CHOOSECOLS(_xlfn.ANCHORARRAY($A$5),14),_xlfn.BYROW(_xlfn.ANCHORARRAY($Q$5),_xlfn.LAMBDA(_xlpm.f,-SUMPRODUCT(((_xlpm.fy=_xlpm.f)+(_xlpm.f="TOTAL"))*(_xlpm.g&lt;0)*_xlpm.g))))</f>
        <v>#VALUE!</v>
      </c>
      <c r="V5" s="17" t="e" cm="1">
        <f t="array" ref="V5:V6">_xlfn.LET(_xlpm.fy,_xlfn.CHOOSECOLS(_xlfn.ANCHORARRAY($A$5),1),_xlpm.g,_xlfn.CHOOSECOLS(_xlfn.ANCHORARRAY($A$5),14),_xlfn.BYROW(_xlfn.ANCHORARRAY($Q$5),_xlfn.LAMBDA(_xlpm.f,SUMPRODUCT(((_xlpm.fy=_xlpm.f)+(_xlpm.f="TOTAL"))*_xlpm.g))))</f>
        <v>#VALUE!</v>
      </c>
    </row>
    <row r="6" spans="1:22" x14ac:dyDescent="0.35">
      <c r="A6" s="81"/>
      <c r="D6" s="97"/>
      <c r="H6" s="97"/>
      <c r="K6" s="99"/>
      <c r="L6" s="99"/>
      <c r="M6" s="99"/>
      <c r="N6" s="99"/>
      <c r="Q6" s="25" t="str">
        <v>TOTAL</v>
      </c>
      <c r="R6" s="82">
        <v>1</v>
      </c>
      <c r="S6" s="111" t="e">
        <v>#VALUE!</v>
      </c>
      <c r="T6" s="111" t="e">
        <v>#VALUE!</v>
      </c>
      <c r="U6" s="111" t="e">
        <v>#VALUE!</v>
      </c>
      <c r="V6" s="111" t="e">
        <v>#VALUE!</v>
      </c>
    </row>
    <row r="7" spans="1:22" x14ac:dyDescent="0.35">
      <c r="A7" s="81"/>
      <c r="D7" s="97"/>
      <c r="H7" s="97"/>
      <c r="K7" s="99"/>
      <c r="L7" s="99"/>
      <c r="M7" s="99"/>
      <c r="N7" s="99"/>
      <c r="R7" s="82"/>
      <c r="S7" s="111"/>
      <c r="T7" s="111"/>
      <c r="U7" s="111"/>
      <c r="V7" s="111"/>
    </row>
    <row r="8" spans="1:22" x14ac:dyDescent="0.35">
      <c r="A8" s="81"/>
      <c r="D8" s="97"/>
      <c r="H8" s="97"/>
      <c r="K8" s="99"/>
      <c r="L8" s="99"/>
      <c r="M8" s="99"/>
      <c r="N8" s="99"/>
      <c r="R8" s="82"/>
      <c r="S8" s="111"/>
      <c r="T8" s="111"/>
      <c r="U8" s="111"/>
      <c r="V8" s="111"/>
    </row>
    <row r="9" spans="1:22" x14ac:dyDescent="0.35">
      <c r="A9" s="81"/>
      <c r="D9" s="97"/>
      <c r="H9" s="97"/>
      <c r="K9" s="99"/>
      <c r="L9" s="99"/>
      <c r="M9" s="99"/>
      <c r="N9" s="99"/>
      <c r="R9" s="82"/>
      <c r="S9" s="111"/>
      <c r="T9" s="111"/>
      <c r="U9" s="111"/>
      <c r="V9" s="111"/>
    </row>
    <row r="10" spans="1:22" x14ac:dyDescent="0.35">
      <c r="A10" s="81"/>
      <c r="D10" s="97"/>
      <c r="H10" s="97"/>
      <c r="K10" s="99"/>
      <c r="L10" s="99"/>
      <c r="M10" s="99"/>
      <c r="N10" s="99"/>
      <c r="R10" s="82"/>
      <c r="S10" s="111"/>
      <c r="T10" s="111"/>
      <c r="U10" s="111"/>
      <c r="V10" s="111"/>
    </row>
    <row r="11" spans="1:22" x14ac:dyDescent="0.35">
      <c r="A11" s="81"/>
      <c r="D11" s="97"/>
      <c r="H11" s="97"/>
      <c r="K11" s="99"/>
      <c r="L11" s="99"/>
      <c r="M11" s="99"/>
      <c r="N11" s="99"/>
      <c r="Q11" s="112"/>
      <c r="R11" s="113"/>
      <c r="S11" s="114"/>
      <c r="T11" s="114"/>
      <c r="U11" s="114"/>
      <c r="V11" s="114"/>
    </row>
    <row r="12" spans="1:22" x14ac:dyDescent="0.35">
      <c r="A12" s="81"/>
      <c r="D12" s="97"/>
      <c r="H12" s="97"/>
      <c r="K12" s="99"/>
      <c r="L12" s="99"/>
      <c r="M12" s="99"/>
      <c r="N12" s="99"/>
      <c r="R12" s="82"/>
      <c r="S12" s="111"/>
      <c r="T12" s="111"/>
      <c r="U12" s="111"/>
      <c r="V12" s="111"/>
    </row>
    <row r="13" spans="1:22" x14ac:dyDescent="0.35">
      <c r="A13" s="81"/>
      <c r="D13" s="97"/>
      <c r="H13" s="97"/>
      <c r="K13" s="99"/>
      <c r="L13" s="99"/>
      <c r="M13" s="99"/>
      <c r="N13" s="99"/>
      <c r="R13" s="82"/>
      <c r="S13" s="111"/>
      <c r="T13" s="111"/>
      <c r="U13" s="111"/>
      <c r="V13" s="111"/>
    </row>
    <row r="14" spans="1:22" x14ac:dyDescent="0.35">
      <c r="A14" s="81"/>
      <c r="D14" s="97"/>
      <c r="H14" s="97"/>
      <c r="K14" s="99"/>
      <c r="L14" s="99"/>
      <c r="M14" s="99"/>
      <c r="N14" s="99"/>
      <c r="R14" s="82"/>
      <c r="S14" s="111"/>
      <c r="T14" s="111"/>
      <c r="U14" s="111"/>
      <c r="V14" s="111"/>
    </row>
    <row r="15" spans="1:22" x14ac:dyDescent="0.35">
      <c r="A15" s="81"/>
      <c r="D15" s="97"/>
      <c r="H15" s="97"/>
      <c r="K15" s="99"/>
      <c r="L15" s="99"/>
      <c r="M15" s="99"/>
      <c r="N15" s="99"/>
      <c r="R15" s="82"/>
      <c r="S15" s="111"/>
      <c r="T15" s="111"/>
      <c r="U15" s="111"/>
      <c r="V15" s="111"/>
    </row>
    <row r="16" spans="1:22" x14ac:dyDescent="0.35">
      <c r="A16" s="81"/>
      <c r="D16" s="97"/>
      <c r="H16" s="97"/>
      <c r="K16" s="99"/>
      <c r="L16" s="99"/>
      <c r="M16" s="99"/>
      <c r="N16" s="99"/>
      <c r="R16" s="82"/>
      <c r="S16" s="111"/>
      <c r="T16" s="111"/>
      <c r="U16" s="111"/>
      <c r="V16" s="111"/>
    </row>
    <row r="17" spans="1:22" x14ac:dyDescent="0.35">
      <c r="A17" s="81"/>
      <c r="D17" s="97"/>
      <c r="H17" s="97"/>
      <c r="K17" s="99"/>
      <c r="L17" s="99"/>
      <c r="M17" s="99"/>
      <c r="N17" s="99"/>
      <c r="R17" s="82"/>
      <c r="S17" s="111"/>
      <c r="T17" s="111"/>
      <c r="U17" s="111"/>
      <c r="V17" s="111"/>
    </row>
    <row r="18" spans="1:22" x14ac:dyDescent="0.35">
      <c r="A18" s="81"/>
      <c r="D18" s="97"/>
      <c r="H18" s="97"/>
      <c r="K18" s="99"/>
      <c r="L18" s="99"/>
      <c r="M18" s="99"/>
      <c r="N18" s="99"/>
      <c r="R18" s="82"/>
      <c r="S18" s="111"/>
      <c r="T18" s="111"/>
      <c r="U18" s="111"/>
      <c r="V18" s="111"/>
    </row>
    <row r="19" spans="1:22" x14ac:dyDescent="0.35">
      <c r="A19" s="81"/>
      <c r="D19" s="97"/>
      <c r="H19" s="97"/>
      <c r="K19" s="99"/>
      <c r="L19" s="99"/>
      <c r="M19" s="99"/>
      <c r="N19" s="99"/>
      <c r="R19" s="82"/>
      <c r="S19" s="111"/>
      <c r="T19" s="111"/>
      <c r="U19" s="111"/>
      <c r="V19" s="111"/>
    </row>
    <row r="20" spans="1:22" x14ac:dyDescent="0.35">
      <c r="A20" s="81"/>
      <c r="D20" s="97"/>
      <c r="H20" s="97"/>
      <c r="K20" s="99"/>
      <c r="L20" s="99"/>
      <c r="M20" s="99"/>
      <c r="N20" s="99"/>
      <c r="R20" s="82"/>
      <c r="S20" s="111"/>
      <c r="T20" s="111"/>
      <c r="U20" s="111"/>
      <c r="V20" s="111"/>
    </row>
    <row r="21" spans="1:22" x14ac:dyDescent="0.35">
      <c r="A21" s="81"/>
      <c r="D21" s="97"/>
      <c r="H21" s="97"/>
      <c r="K21" s="99"/>
      <c r="L21" s="99"/>
      <c r="M21" s="99"/>
      <c r="N21" s="99"/>
      <c r="R21" s="82"/>
      <c r="S21" s="111"/>
      <c r="T21" s="111"/>
      <c r="U21" s="111"/>
      <c r="V21" s="111"/>
    </row>
    <row r="22" spans="1:22" x14ac:dyDescent="0.35">
      <c r="A22" s="81"/>
      <c r="D22" s="97"/>
      <c r="H22" s="97"/>
      <c r="K22" s="99"/>
      <c r="L22" s="99"/>
      <c r="M22" s="99"/>
      <c r="N22" s="99"/>
      <c r="R22" s="82"/>
      <c r="S22" s="111"/>
      <c r="T22" s="111"/>
      <c r="U22" s="111"/>
      <c r="V22" s="111"/>
    </row>
    <row r="23" spans="1:22" x14ac:dyDescent="0.35">
      <c r="A23" s="81"/>
      <c r="D23" s="97"/>
      <c r="H23" s="97"/>
      <c r="K23" s="99"/>
      <c r="L23" s="99"/>
      <c r="M23" s="99"/>
      <c r="N23" s="99"/>
      <c r="R23" s="82"/>
      <c r="S23" s="111"/>
      <c r="T23" s="111"/>
      <c r="U23" s="111"/>
      <c r="V23" s="111"/>
    </row>
    <row r="24" spans="1:22" x14ac:dyDescent="0.35">
      <c r="A24" s="81"/>
      <c r="D24" s="97"/>
      <c r="H24" s="97"/>
      <c r="K24" s="99"/>
      <c r="L24" s="99"/>
      <c r="M24" s="99"/>
      <c r="N24" s="99"/>
      <c r="R24" s="82"/>
      <c r="S24" s="111"/>
      <c r="T24" s="111"/>
      <c r="U24" s="111"/>
      <c r="V24" s="111"/>
    </row>
    <row r="25" spans="1:22" x14ac:dyDescent="0.35">
      <c r="A25" s="81"/>
      <c r="D25" s="97"/>
      <c r="H25" s="97"/>
      <c r="K25" s="99"/>
      <c r="L25" s="99"/>
      <c r="M25" s="99"/>
      <c r="N25" s="99"/>
      <c r="R25" s="82"/>
      <c r="S25" s="111"/>
      <c r="T25" s="111"/>
      <c r="U25" s="111"/>
      <c r="V25" s="111"/>
    </row>
    <row r="26" spans="1:22" x14ac:dyDescent="0.35">
      <c r="A26" s="81"/>
      <c r="D26" s="97"/>
      <c r="H26" s="97"/>
      <c r="K26" s="99"/>
      <c r="L26" s="99"/>
      <c r="M26" s="99"/>
      <c r="N26" s="99"/>
    </row>
    <row r="27" spans="1:22" x14ac:dyDescent="0.35">
      <c r="A27" s="81"/>
      <c r="D27" s="97"/>
      <c r="H27" s="97"/>
      <c r="K27" s="99"/>
      <c r="L27" s="99"/>
      <c r="M27" s="99"/>
      <c r="N27" s="99"/>
    </row>
    <row r="28" spans="1:22" x14ac:dyDescent="0.35">
      <c r="A28" s="81"/>
      <c r="D28" s="97"/>
      <c r="H28" s="97"/>
      <c r="K28" s="99"/>
      <c r="L28" s="99"/>
      <c r="M28" s="99"/>
      <c r="N28" s="99"/>
    </row>
    <row r="29" spans="1:22" x14ac:dyDescent="0.35">
      <c r="A29" s="81"/>
      <c r="D29" s="97"/>
      <c r="H29" s="97"/>
      <c r="K29" s="99"/>
      <c r="L29" s="99"/>
      <c r="M29" s="99"/>
      <c r="N29" s="99"/>
    </row>
    <row r="30" spans="1:22" x14ac:dyDescent="0.35">
      <c r="A30" s="81"/>
      <c r="D30" s="97"/>
      <c r="H30" s="97"/>
      <c r="K30" s="99"/>
      <c r="L30" s="99"/>
      <c r="M30" s="99"/>
      <c r="N30" s="99"/>
    </row>
    <row r="31" spans="1:22" x14ac:dyDescent="0.35">
      <c r="A31" s="81"/>
      <c r="D31" s="97"/>
      <c r="H31" s="97"/>
      <c r="K31" s="99"/>
      <c r="L31" s="99"/>
      <c r="M31" s="99"/>
      <c r="N31" s="99"/>
    </row>
    <row r="32" spans="1:22" x14ac:dyDescent="0.35">
      <c r="A32" s="81"/>
      <c r="D32" s="97"/>
      <c r="H32" s="97"/>
      <c r="K32" s="99"/>
      <c r="L32" s="99"/>
      <c r="M32" s="99"/>
      <c r="N32" s="99"/>
    </row>
    <row r="33" spans="1:14" x14ac:dyDescent="0.35">
      <c r="A33" s="81"/>
      <c r="D33" s="97"/>
      <c r="H33" s="97"/>
      <c r="K33" s="99"/>
      <c r="L33" s="99"/>
      <c r="M33" s="99"/>
      <c r="N33" s="99"/>
    </row>
    <row r="34" spans="1:14" x14ac:dyDescent="0.35">
      <c r="A34" s="81"/>
      <c r="D34" s="97"/>
      <c r="H34" s="97"/>
      <c r="K34" s="99"/>
      <c r="L34" s="99"/>
      <c r="M34" s="99"/>
      <c r="N34" s="99"/>
    </row>
    <row r="35" spans="1:14" x14ac:dyDescent="0.35">
      <c r="A35" s="81"/>
      <c r="D35" s="97"/>
      <c r="H35" s="97"/>
      <c r="K35" s="99"/>
      <c r="L35" s="99"/>
      <c r="M35" s="99"/>
      <c r="N35" s="99"/>
    </row>
    <row r="36" spans="1:14" x14ac:dyDescent="0.35">
      <c r="A36" s="81"/>
      <c r="D36" s="97"/>
      <c r="H36" s="97"/>
      <c r="K36" s="99"/>
      <c r="L36" s="99"/>
      <c r="M36" s="99"/>
      <c r="N36" s="99"/>
    </row>
    <row r="37" spans="1:14" x14ac:dyDescent="0.35">
      <c r="A37" s="81"/>
      <c r="D37" s="97"/>
      <c r="H37" s="97"/>
      <c r="K37" s="99"/>
      <c r="L37" s="99"/>
      <c r="M37" s="99"/>
      <c r="N37" s="99"/>
    </row>
    <row r="38" spans="1:14" x14ac:dyDescent="0.35">
      <c r="A38" s="81"/>
      <c r="D38" s="97"/>
      <c r="H38" s="97"/>
      <c r="K38" s="99"/>
      <c r="L38" s="99"/>
      <c r="M38" s="99"/>
      <c r="N38" s="99"/>
    </row>
    <row r="39" spans="1:14" x14ac:dyDescent="0.35">
      <c r="A39" s="81"/>
      <c r="D39" s="97"/>
      <c r="H39" s="97"/>
      <c r="K39" s="99"/>
      <c r="L39" s="99"/>
      <c r="M39" s="99"/>
      <c r="N39" s="99"/>
    </row>
    <row r="40" spans="1:14" x14ac:dyDescent="0.35">
      <c r="A40" s="81"/>
      <c r="D40" s="97"/>
      <c r="H40" s="97"/>
      <c r="K40" s="99"/>
      <c r="L40" s="99"/>
      <c r="M40" s="99"/>
      <c r="N40" s="99"/>
    </row>
    <row r="41" spans="1:14" x14ac:dyDescent="0.35">
      <c r="A41" s="81"/>
      <c r="D41" s="97"/>
      <c r="H41" s="97"/>
      <c r="K41" s="99"/>
      <c r="L41" s="99"/>
      <c r="M41" s="99"/>
      <c r="N41" s="99"/>
    </row>
    <row r="42" spans="1:14" x14ac:dyDescent="0.35">
      <c r="A42" s="81"/>
      <c r="D42" s="97"/>
      <c r="H42" s="97"/>
      <c r="K42" s="99"/>
      <c r="L42" s="99"/>
      <c r="M42" s="99"/>
      <c r="N42" s="99"/>
    </row>
    <row r="43" spans="1:14" x14ac:dyDescent="0.35">
      <c r="A43" s="81"/>
      <c r="D43" s="97"/>
      <c r="H43" s="97"/>
      <c r="K43" s="99"/>
      <c r="L43" s="99"/>
      <c r="M43" s="99"/>
      <c r="N43" s="99"/>
    </row>
    <row r="44" spans="1:14" x14ac:dyDescent="0.35">
      <c r="A44" s="81"/>
      <c r="D44" s="97"/>
      <c r="H44" s="97"/>
      <c r="K44" s="99"/>
      <c r="L44" s="99"/>
      <c r="M44" s="99"/>
      <c r="N44" s="99"/>
    </row>
    <row r="45" spans="1:14" x14ac:dyDescent="0.35">
      <c r="A45" s="81"/>
      <c r="D45" s="97"/>
      <c r="H45" s="97"/>
      <c r="K45" s="99"/>
      <c r="L45" s="99"/>
      <c r="M45" s="99"/>
      <c r="N45" s="99"/>
    </row>
    <row r="46" spans="1:14" x14ac:dyDescent="0.35">
      <c r="A46" s="81"/>
      <c r="D46" s="97"/>
      <c r="H46" s="97"/>
      <c r="K46" s="99"/>
      <c r="L46" s="99"/>
      <c r="M46" s="99"/>
      <c r="N46" s="99"/>
    </row>
    <row r="47" spans="1:14" x14ac:dyDescent="0.35">
      <c r="A47" s="81"/>
      <c r="D47" s="97"/>
      <c r="H47" s="97"/>
      <c r="K47" s="99"/>
      <c r="L47" s="99"/>
      <c r="M47" s="99"/>
      <c r="N47" s="99"/>
    </row>
    <row r="48" spans="1:14" x14ac:dyDescent="0.35">
      <c r="A48" s="81"/>
      <c r="D48" s="97"/>
      <c r="H48" s="97"/>
      <c r="K48" s="99"/>
      <c r="L48" s="99"/>
      <c r="M48" s="99"/>
      <c r="N48" s="99"/>
    </row>
    <row r="49" spans="1:14" x14ac:dyDescent="0.35">
      <c r="A49" s="81"/>
      <c r="D49" s="97"/>
      <c r="H49" s="97"/>
      <c r="K49" s="99"/>
      <c r="L49" s="99"/>
      <c r="M49" s="99"/>
      <c r="N49" s="99"/>
    </row>
    <row r="50" spans="1:14" x14ac:dyDescent="0.35">
      <c r="A50" s="81"/>
      <c r="D50" s="97"/>
      <c r="H50" s="97"/>
      <c r="K50" s="99"/>
      <c r="L50" s="99"/>
      <c r="M50" s="99"/>
      <c r="N50" s="99"/>
    </row>
    <row r="51" spans="1:14" x14ac:dyDescent="0.35">
      <c r="A51" s="81"/>
      <c r="D51" s="97"/>
      <c r="H51" s="97"/>
      <c r="K51" s="99"/>
      <c r="L51" s="99"/>
      <c r="M51" s="99"/>
      <c r="N51" s="99"/>
    </row>
    <row r="52" spans="1:14" x14ac:dyDescent="0.35">
      <c r="A52" s="81"/>
      <c r="D52" s="97"/>
      <c r="H52" s="97"/>
      <c r="K52" s="99"/>
      <c r="L52" s="99"/>
      <c r="M52" s="99"/>
      <c r="N52" s="99"/>
    </row>
    <row r="53" spans="1:14" x14ac:dyDescent="0.35">
      <c r="A53" s="81"/>
      <c r="D53" s="97"/>
      <c r="H53" s="97"/>
      <c r="K53" s="99"/>
      <c r="L53" s="99"/>
      <c r="M53" s="99"/>
      <c r="N53" s="99"/>
    </row>
    <row r="54" spans="1:14" x14ac:dyDescent="0.35">
      <c r="A54" s="81"/>
      <c r="D54" s="97"/>
      <c r="H54" s="97"/>
      <c r="K54" s="99"/>
      <c r="L54" s="99"/>
      <c r="M54" s="99"/>
      <c r="N54" s="99"/>
    </row>
    <row r="55" spans="1:14" x14ac:dyDescent="0.35">
      <c r="A55" s="81"/>
      <c r="D55" s="97"/>
      <c r="H55" s="97"/>
      <c r="K55" s="99"/>
      <c r="L55" s="99"/>
      <c r="M55" s="99"/>
      <c r="N55" s="99"/>
    </row>
    <row r="56" spans="1:14" x14ac:dyDescent="0.35">
      <c r="A56" s="81"/>
      <c r="D56" s="97"/>
      <c r="H56" s="97"/>
      <c r="K56" s="99"/>
      <c r="L56" s="99"/>
      <c r="M56" s="99"/>
      <c r="N56" s="99"/>
    </row>
    <row r="57" spans="1:14" x14ac:dyDescent="0.35">
      <c r="A57" s="81"/>
      <c r="D57" s="97"/>
      <c r="H57" s="97"/>
      <c r="K57" s="99"/>
      <c r="L57" s="99"/>
      <c r="M57" s="99"/>
      <c r="N57" s="99"/>
    </row>
    <row r="58" spans="1:14" x14ac:dyDescent="0.35">
      <c r="A58" s="81"/>
      <c r="D58" s="97"/>
      <c r="H58" s="97"/>
      <c r="K58" s="99"/>
      <c r="L58" s="99"/>
      <c r="M58" s="99"/>
      <c r="N58" s="99"/>
    </row>
    <row r="59" spans="1:14" x14ac:dyDescent="0.35">
      <c r="A59" s="81"/>
      <c r="D59" s="97"/>
      <c r="H59" s="97"/>
      <c r="K59" s="99"/>
      <c r="L59" s="99"/>
      <c r="M59" s="99"/>
      <c r="N59" s="99"/>
    </row>
    <row r="60" spans="1:14" x14ac:dyDescent="0.35">
      <c r="A60" s="81"/>
      <c r="D60" s="97"/>
      <c r="H60" s="97"/>
      <c r="K60" s="99"/>
      <c r="L60" s="99"/>
      <c r="M60" s="99"/>
      <c r="N60" s="99"/>
    </row>
    <row r="61" spans="1:14" x14ac:dyDescent="0.35">
      <c r="A61" s="81"/>
      <c r="D61" s="97"/>
      <c r="H61" s="97"/>
      <c r="K61" s="99"/>
      <c r="L61" s="99"/>
      <c r="M61" s="99"/>
      <c r="N61" s="99"/>
    </row>
    <row r="62" spans="1:14" x14ac:dyDescent="0.35">
      <c r="A62" s="81"/>
      <c r="D62" s="97"/>
      <c r="H62" s="97"/>
      <c r="K62" s="99"/>
      <c r="L62" s="99"/>
      <c r="M62" s="99"/>
      <c r="N62" s="99"/>
    </row>
    <row r="63" spans="1:14" x14ac:dyDescent="0.35">
      <c r="A63" s="81"/>
      <c r="D63" s="97"/>
      <c r="H63" s="97"/>
      <c r="K63" s="99"/>
      <c r="L63" s="99"/>
      <c r="M63" s="99"/>
      <c r="N63" s="99"/>
    </row>
    <row r="64" spans="1:14" x14ac:dyDescent="0.35">
      <c r="A64" s="81"/>
      <c r="D64" s="97"/>
      <c r="H64" s="97"/>
      <c r="K64" s="99"/>
      <c r="L64" s="99"/>
      <c r="M64" s="99"/>
      <c r="N64" s="99"/>
    </row>
    <row r="65" spans="1:14" x14ac:dyDescent="0.35">
      <c r="A65" s="81"/>
      <c r="D65" s="97"/>
      <c r="H65" s="97"/>
      <c r="K65" s="99"/>
      <c r="L65" s="99"/>
      <c r="M65" s="99"/>
      <c r="N65" s="99"/>
    </row>
    <row r="66" spans="1:14" x14ac:dyDescent="0.35">
      <c r="A66" s="81"/>
      <c r="D66" s="97"/>
      <c r="H66" s="97"/>
      <c r="K66" s="99"/>
      <c r="L66" s="99"/>
      <c r="M66" s="99"/>
      <c r="N66" s="99"/>
    </row>
    <row r="67" spans="1:14" x14ac:dyDescent="0.35">
      <c r="A67" s="81"/>
      <c r="D67" s="97"/>
      <c r="H67" s="97"/>
      <c r="K67" s="99"/>
      <c r="L67" s="99"/>
      <c r="M67" s="99"/>
      <c r="N67" s="99"/>
    </row>
    <row r="68" spans="1:14" x14ac:dyDescent="0.35">
      <c r="A68" s="81"/>
      <c r="D68" s="97"/>
      <c r="H68" s="97"/>
      <c r="K68" s="99"/>
      <c r="L68" s="99"/>
      <c r="M68" s="99"/>
      <c r="N68" s="99"/>
    </row>
    <row r="69" spans="1:14" x14ac:dyDescent="0.35">
      <c r="A69" s="81"/>
      <c r="D69" s="97"/>
      <c r="H69" s="97"/>
      <c r="K69" s="99"/>
      <c r="L69" s="99"/>
      <c r="M69" s="99"/>
      <c r="N69" s="99"/>
    </row>
    <row r="70" spans="1:14" x14ac:dyDescent="0.35">
      <c r="A70" s="81"/>
      <c r="D70" s="97"/>
      <c r="H70" s="97"/>
      <c r="K70" s="99"/>
      <c r="L70" s="99"/>
      <c r="M70" s="99"/>
      <c r="N70" s="99"/>
    </row>
    <row r="71" spans="1:14" x14ac:dyDescent="0.35">
      <c r="A71" s="81"/>
      <c r="D71" s="97"/>
      <c r="H71" s="97"/>
      <c r="K71" s="99"/>
      <c r="L71" s="99"/>
      <c r="M71" s="99"/>
      <c r="N71" s="99"/>
    </row>
    <row r="72" spans="1:14" x14ac:dyDescent="0.35">
      <c r="A72" s="81"/>
      <c r="D72" s="97"/>
      <c r="H72" s="97"/>
      <c r="K72" s="99"/>
      <c r="L72" s="99"/>
      <c r="M72" s="99"/>
      <c r="N72" s="99"/>
    </row>
    <row r="73" spans="1:14" x14ac:dyDescent="0.35">
      <c r="A73" s="81"/>
      <c r="D73" s="97"/>
      <c r="H73" s="97"/>
      <c r="K73" s="99"/>
      <c r="L73" s="99"/>
      <c r="M73" s="99"/>
      <c r="N73" s="99"/>
    </row>
    <row r="74" spans="1:14" x14ac:dyDescent="0.35">
      <c r="A74" s="81"/>
      <c r="D74" s="97"/>
      <c r="H74" s="97"/>
      <c r="K74" s="99"/>
      <c r="L74" s="99"/>
      <c r="M74" s="99"/>
      <c r="N74" s="99"/>
    </row>
    <row r="75" spans="1:14" x14ac:dyDescent="0.35">
      <c r="A75" s="81"/>
      <c r="D75" s="97"/>
      <c r="H75" s="97"/>
      <c r="K75" s="99"/>
      <c r="L75" s="99"/>
      <c r="M75" s="99"/>
      <c r="N75" s="99"/>
    </row>
    <row r="76" spans="1:14" x14ac:dyDescent="0.35">
      <c r="A76" s="81"/>
      <c r="D76" s="97"/>
      <c r="H76" s="97"/>
      <c r="K76" s="99"/>
      <c r="L76" s="99"/>
      <c r="M76" s="99"/>
      <c r="N76" s="99"/>
    </row>
    <row r="77" spans="1:14" x14ac:dyDescent="0.35">
      <c r="A77" s="81"/>
      <c r="D77" s="97"/>
      <c r="H77" s="97"/>
      <c r="K77" s="99"/>
      <c r="L77" s="99"/>
      <c r="M77" s="99"/>
      <c r="N77" s="99"/>
    </row>
    <row r="78" spans="1:14" x14ac:dyDescent="0.35">
      <c r="A78" s="81"/>
      <c r="D78" s="97"/>
      <c r="H78" s="97"/>
      <c r="K78" s="99"/>
      <c r="L78" s="99"/>
      <c r="M78" s="99"/>
      <c r="N78" s="99"/>
    </row>
    <row r="79" spans="1:14" x14ac:dyDescent="0.35">
      <c r="A79" s="81"/>
      <c r="D79" s="97"/>
      <c r="H79" s="97"/>
      <c r="K79" s="99"/>
      <c r="L79" s="99"/>
      <c r="M79" s="99"/>
      <c r="N79" s="99"/>
    </row>
    <row r="80" spans="1:14" x14ac:dyDescent="0.35">
      <c r="A80" s="81"/>
      <c r="D80" s="97"/>
      <c r="H80" s="97"/>
      <c r="K80" s="99"/>
      <c r="L80" s="99"/>
      <c r="M80" s="99"/>
      <c r="N80" s="99"/>
    </row>
    <row r="81" spans="1:14" x14ac:dyDescent="0.35">
      <c r="A81" s="81"/>
      <c r="D81" s="97"/>
      <c r="H81" s="97"/>
      <c r="K81" s="99"/>
      <c r="L81" s="99"/>
      <c r="M81" s="99"/>
      <c r="N81" s="99"/>
    </row>
    <row r="82" spans="1:14" x14ac:dyDescent="0.35">
      <c r="A82" s="81"/>
      <c r="D82" s="97"/>
      <c r="H82" s="97"/>
      <c r="K82" s="99"/>
      <c r="L82" s="99"/>
      <c r="M82" s="99"/>
      <c r="N82" s="99"/>
    </row>
    <row r="83" spans="1:14" x14ac:dyDescent="0.35">
      <c r="A83" s="81"/>
      <c r="D83" s="97"/>
      <c r="H83" s="97"/>
      <c r="K83" s="99"/>
      <c r="L83" s="99"/>
      <c r="M83" s="99"/>
      <c r="N83" s="99"/>
    </row>
    <row r="84" spans="1:14" x14ac:dyDescent="0.35">
      <c r="A84" s="81"/>
      <c r="D84" s="97"/>
      <c r="H84" s="97"/>
      <c r="K84" s="99"/>
      <c r="L84" s="99"/>
      <c r="M84" s="99"/>
      <c r="N84" s="99"/>
    </row>
    <row r="85" spans="1:14" x14ac:dyDescent="0.35">
      <c r="A85" s="81"/>
      <c r="D85" s="97"/>
      <c r="H85" s="97"/>
      <c r="K85" s="99"/>
      <c r="L85" s="99"/>
      <c r="M85" s="99"/>
      <c r="N85" s="99"/>
    </row>
    <row r="86" spans="1:14" x14ac:dyDescent="0.35">
      <c r="A86" s="81"/>
      <c r="D86" s="97"/>
      <c r="H86" s="97"/>
      <c r="K86" s="99"/>
      <c r="L86" s="99"/>
      <c r="M86" s="99"/>
      <c r="N86" s="99"/>
    </row>
    <row r="87" spans="1:14" x14ac:dyDescent="0.35">
      <c r="A87" s="81"/>
      <c r="D87" s="97"/>
      <c r="H87" s="97"/>
      <c r="K87" s="99"/>
      <c r="L87" s="99"/>
      <c r="M87" s="99"/>
      <c r="N87" s="99"/>
    </row>
    <row r="88" spans="1:14" x14ac:dyDescent="0.35">
      <c r="A88" s="81"/>
      <c r="D88" s="97"/>
      <c r="H88" s="97"/>
      <c r="K88" s="99"/>
      <c r="L88" s="99"/>
      <c r="M88" s="99"/>
      <c r="N88" s="99"/>
    </row>
    <row r="89" spans="1:14" x14ac:dyDescent="0.35">
      <c r="A89" s="81"/>
      <c r="D89" s="97"/>
      <c r="H89" s="97"/>
      <c r="K89" s="99"/>
      <c r="L89" s="99"/>
      <c r="M89" s="99"/>
      <c r="N89" s="99"/>
    </row>
    <row r="90" spans="1:14" x14ac:dyDescent="0.35">
      <c r="A90" s="81"/>
      <c r="D90" s="97"/>
      <c r="H90" s="97"/>
      <c r="K90" s="99"/>
      <c r="L90" s="99"/>
      <c r="M90" s="99"/>
      <c r="N90" s="99"/>
    </row>
    <row r="91" spans="1:14" x14ac:dyDescent="0.35">
      <c r="A91" s="81"/>
      <c r="D91" s="97"/>
      <c r="H91" s="97"/>
      <c r="K91" s="99"/>
      <c r="L91" s="99"/>
      <c r="M91" s="99"/>
      <c r="N91" s="99"/>
    </row>
    <row r="92" spans="1:14" x14ac:dyDescent="0.35">
      <c r="A92" s="81"/>
      <c r="D92" s="97"/>
      <c r="H92" s="97"/>
      <c r="K92" s="99"/>
      <c r="L92" s="99"/>
      <c r="M92" s="99"/>
      <c r="N92" s="99"/>
    </row>
    <row r="93" spans="1:14" x14ac:dyDescent="0.35">
      <c r="A93" s="81"/>
      <c r="D93" s="97"/>
      <c r="H93" s="97"/>
      <c r="K93" s="99"/>
      <c r="L93" s="99"/>
      <c r="M93" s="99"/>
      <c r="N93" s="99"/>
    </row>
    <row r="94" spans="1:14" x14ac:dyDescent="0.35">
      <c r="A94" s="81"/>
      <c r="D94" s="97"/>
      <c r="H94" s="97"/>
      <c r="K94" s="99"/>
      <c r="L94" s="99"/>
      <c r="M94" s="99"/>
      <c r="N94" s="99"/>
    </row>
    <row r="95" spans="1:14" x14ac:dyDescent="0.35">
      <c r="A95" s="81"/>
      <c r="D95" s="97"/>
      <c r="H95" s="97"/>
      <c r="K95" s="99"/>
      <c r="L95" s="99"/>
      <c r="M95" s="99"/>
      <c r="N95" s="99"/>
    </row>
    <row r="96" spans="1:14" x14ac:dyDescent="0.35">
      <c r="A96" s="81"/>
      <c r="D96" s="97"/>
      <c r="H96" s="97"/>
      <c r="K96" s="99"/>
      <c r="L96" s="99"/>
      <c r="M96" s="99"/>
      <c r="N96" s="99"/>
    </row>
    <row r="97" spans="1:14" x14ac:dyDescent="0.35">
      <c r="A97" s="81"/>
      <c r="D97" s="97"/>
      <c r="H97" s="97"/>
      <c r="K97" s="99"/>
      <c r="L97" s="99"/>
      <c r="M97" s="99"/>
      <c r="N97" s="99"/>
    </row>
    <row r="98" spans="1:14" x14ac:dyDescent="0.35">
      <c r="A98" s="81"/>
      <c r="D98" s="97"/>
      <c r="H98" s="97"/>
      <c r="K98" s="99"/>
      <c r="L98" s="99"/>
      <c r="M98" s="99"/>
      <c r="N98" s="99"/>
    </row>
    <row r="99" spans="1:14" x14ac:dyDescent="0.35">
      <c r="A99" s="81"/>
      <c r="D99" s="97"/>
      <c r="H99" s="97"/>
      <c r="K99" s="99"/>
      <c r="L99" s="99"/>
      <c r="M99" s="99"/>
      <c r="N99" s="99"/>
    </row>
    <row r="100" spans="1:14" x14ac:dyDescent="0.35">
      <c r="A100" s="81"/>
      <c r="D100" s="97"/>
      <c r="H100" s="97"/>
      <c r="K100" s="99"/>
      <c r="L100" s="99"/>
      <c r="M100" s="99"/>
      <c r="N100" s="99"/>
    </row>
    <row r="101" spans="1:14" x14ac:dyDescent="0.35">
      <c r="A101" s="81"/>
      <c r="D101" s="97"/>
      <c r="H101" s="97"/>
      <c r="K101" s="99"/>
      <c r="L101" s="99"/>
      <c r="M101" s="99"/>
      <c r="N101" s="99"/>
    </row>
    <row r="102" spans="1:14" x14ac:dyDescent="0.35">
      <c r="A102" s="81"/>
      <c r="D102" s="97"/>
      <c r="H102" s="97"/>
      <c r="K102" s="99"/>
      <c r="L102" s="99"/>
      <c r="M102" s="99"/>
      <c r="N102" s="99"/>
    </row>
    <row r="103" spans="1:14" x14ac:dyDescent="0.35">
      <c r="A103" s="81"/>
      <c r="D103" s="97"/>
      <c r="H103" s="97"/>
      <c r="K103" s="99"/>
      <c r="L103" s="99"/>
      <c r="M103" s="99"/>
      <c r="N103" s="99"/>
    </row>
    <row r="104" spans="1:14" x14ac:dyDescent="0.35">
      <c r="A104" s="81"/>
      <c r="D104" s="97"/>
      <c r="H104" s="97"/>
      <c r="K104" s="99"/>
      <c r="L104" s="99"/>
      <c r="M104" s="99"/>
      <c r="N104" s="99"/>
    </row>
    <row r="105" spans="1:14" x14ac:dyDescent="0.35">
      <c r="A105" s="81"/>
      <c r="D105" s="97"/>
      <c r="H105" s="97"/>
      <c r="K105" s="99"/>
      <c r="L105" s="99"/>
      <c r="M105" s="99"/>
      <c r="N105" s="99"/>
    </row>
    <row r="106" spans="1:14" x14ac:dyDescent="0.35">
      <c r="A106" s="81"/>
      <c r="D106" s="97"/>
      <c r="H106" s="97"/>
      <c r="K106" s="99"/>
      <c r="L106" s="99"/>
      <c r="M106" s="99"/>
      <c r="N106" s="99"/>
    </row>
    <row r="107" spans="1:14" x14ac:dyDescent="0.35">
      <c r="A107" s="81"/>
      <c r="D107" s="97"/>
      <c r="H107" s="97"/>
      <c r="K107" s="99"/>
      <c r="L107" s="99"/>
      <c r="M107" s="99"/>
      <c r="N107" s="99"/>
    </row>
    <row r="108" spans="1:14" x14ac:dyDescent="0.35">
      <c r="A108" s="81"/>
      <c r="D108" s="97"/>
      <c r="H108" s="97"/>
      <c r="K108" s="99"/>
      <c r="L108" s="99"/>
      <c r="M108" s="99"/>
      <c r="N108" s="99"/>
    </row>
    <row r="109" spans="1:14" x14ac:dyDescent="0.35">
      <c r="A109" s="81"/>
      <c r="D109" s="97"/>
      <c r="H109" s="97"/>
      <c r="K109" s="99"/>
      <c r="L109" s="99"/>
      <c r="M109" s="99"/>
      <c r="N109" s="99"/>
    </row>
    <row r="110" spans="1:14" x14ac:dyDescent="0.35">
      <c r="A110" s="81"/>
      <c r="D110" s="97"/>
      <c r="H110" s="97"/>
      <c r="K110" s="99"/>
      <c r="L110" s="99"/>
      <c r="M110" s="99"/>
      <c r="N110" s="99"/>
    </row>
    <row r="111" spans="1:14" x14ac:dyDescent="0.35">
      <c r="A111" s="81"/>
      <c r="D111" s="97"/>
      <c r="H111" s="97"/>
      <c r="K111" s="99"/>
      <c r="L111" s="99"/>
      <c r="M111" s="99"/>
      <c r="N111" s="99"/>
    </row>
    <row r="112" spans="1:14" x14ac:dyDescent="0.35">
      <c r="A112" s="81"/>
      <c r="D112" s="97"/>
      <c r="H112" s="97"/>
      <c r="K112" s="99"/>
      <c r="L112" s="99"/>
      <c r="M112" s="99"/>
      <c r="N112" s="99"/>
    </row>
    <row r="113" spans="1:14" x14ac:dyDescent="0.35">
      <c r="A113" s="81"/>
      <c r="D113" s="97"/>
      <c r="H113" s="97"/>
      <c r="K113" s="99"/>
      <c r="L113" s="99"/>
      <c r="M113" s="99"/>
      <c r="N113" s="99"/>
    </row>
    <row r="114" spans="1:14" x14ac:dyDescent="0.35">
      <c r="A114" s="81"/>
      <c r="D114" s="97"/>
      <c r="H114" s="97"/>
      <c r="K114" s="99"/>
      <c r="L114" s="99"/>
      <c r="M114" s="99"/>
      <c r="N114" s="99"/>
    </row>
    <row r="115" spans="1:14" x14ac:dyDescent="0.35">
      <c r="A115" s="81"/>
      <c r="D115" s="97"/>
      <c r="H115" s="97"/>
      <c r="K115" s="99"/>
      <c r="L115" s="99"/>
      <c r="M115" s="99"/>
      <c r="N115" s="99"/>
    </row>
    <row r="116" spans="1:14" x14ac:dyDescent="0.35">
      <c r="A116" s="81"/>
      <c r="D116" s="97"/>
      <c r="H116" s="97"/>
      <c r="K116" s="99"/>
      <c r="L116" s="99"/>
      <c r="M116" s="99"/>
      <c r="N116" s="99"/>
    </row>
    <row r="117" spans="1:14" x14ac:dyDescent="0.35">
      <c r="A117" s="81"/>
      <c r="D117" s="97"/>
      <c r="H117" s="97"/>
      <c r="K117" s="99"/>
      <c r="L117" s="99"/>
      <c r="M117" s="99"/>
      <c r="N117" s="99"/>
    </row>
    <row r="118" spans="1:14" x14ac:dyDescent="0.35">
      <c r="A118" s="81"/>
      <c r="D118" s="97"/>
      <c r="H118" s="97"/>
      <c r="K118" s="99"/>
      <c r="L118" s="99"/>
      <c r="M118" s="99"/>
      <c r="N118" s="99"/>
    </row>
    <row r="119" spans="1:14" x14ac:dyDescent="0.35">
      <c r="A119" s="81"/>
      <c r="D119" s="97"/>
      <c r="H119" s="97"/>
      <c r="K119" s="99"/>
      <c r="L119" s="99"/>
      <c r="M119" s="99"/>
      <c r="N119" s="99"/>
    </row>
    <row r="120" spans="1:14" x14ac:dyDescent="0.35">
      <c r="A120" s="81"/>
      <c r="D120" s="97"/>
      <c r="H120" s="97"/>
      <c r="K120" s="99"/>
      <c r="L120" s="99"/>
      <c r="M120" s="99"/>
      <c r="N120" s="99"/>
    </row>
    <row r="121" spans="1:14" x14ac:dyDescent="0.35">
      <c r="A121" s="81"/>
      <c r="D121" s="97"/>
      <c r="H121" s="97"/>
      <c r="K121" s="99"/>
      <c r="L121" s="99"/>
      <c r="M121" s="99"/>
      <c r="N121" s="99"/>
    </row>
    <row r="122" spans="1:14" x14ac:dyDescent="0.35">
      <c r="A122" s="81"/>
      <c r="D122" s="97"/>
      <c r="H122" s="97"/>
      <c r="K122" s="99"/>
      <c r="L122" s="99"/>
      <c r="M122" s="99"/>
      <c r="N122" s="99"/>
    </row>
    <row r="123" spans="1:14" x14ac:dyDescent="0.35">
      <c r="A123" s="81"/>
      <c r="D123" s="97"/>
      <c r="H123" s="97"/>
      <c r="K123" s="99"/>
      <c r="L123" s="99"/>
      <c r="M123" s="99"/>
      <c r="N123" s="99"/>
    </row>
    <row r="124" spans="1:14" x14ac:dyDescent="0.35">
      <c r="A124" s="81"/>
      <c r="D124" s="97"/>
      <c r="H124" s="97"/>
      <c r="K124" s="99"/>
      <c r="L124" s="99"/>
      <c r="M124" s="99"/>
      <c r="N124" s="99"/>
    </row>
    <row r="125" spans="1:14" x14ac:dyDescent="0.35">
      <c r="A125" s="81"/>
      <c r="D125" s="97"/>
      <c r="H125" s="97"/>
      <c r="K125" s="99"/>
      <c r="L125" s="99"/>
      <c r="M125" s="99"/>
      <c r="N125" s="99"/>
    </row>
    <row r="126" spans="1:14" x14ac:dyDescent="0.35">
      <c r="A126" s="81"/>
      <c r="D126" s="97"/>
      <c r="H126" s="97"/>
      <c r="K126" s="99"/>
      <c r="L126" s="99"/>
      <c r="M126" s="99"/>
      <c r="N126" s="99"/>
    </row>
    <row r="127" spans="1:14" x14ac:dyDescent="0.35">
      <c r="A127" s="81"/>
    </row>
    <row r="128" spans="1:14" x14ac:dyDescent="0.35">
      <c r="A128" s="81"/>
    </row>
  </sheetData>
  <sheetProtection formatCells="0" formatColumns="0" formatRows="0" insertRows="0" deleteRows="0" sort="0" autoFilter="0"/>
  <autoFilter ref="A4:V128" xr:uid="{0C318E3F-FD89-4FE6-873E-40F4D05208D4}"/>
  <conditionalFormatting sqref="A1:V11">
    <cfRule type="expression" dxfId="8"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35689-AC47-4E37-B9D5-2AE98D693732}">
  <sheetPr>
    <tabColor theme="9" tint="0.79998168889431442"/>
  </sheetPr>
  <dimension ref="A1:L83"/>
  <sheetViews>
    <sheetView workbookViewId="0">
      <selection activeCell="A7" sqref="A7"/>
    </sheetView>
  </sheetViews>
  <sheetFormatPr defaultRowHeight="14.5" x14ac:dyDescent="0.35"/>
  <cols>
    <col min="1" max="1" width="26.453125" style="25" customWidth="1"/>
    <col min="2" max="2" width="10.1796875" style="25" bestFit="1" customWidth="1"/>
    <col min="3" max="3" width="17.26953125" style="52" customWidth="1"/>
    <col min="4" max="4" width="17.08984375" style="25" bestFit="1" customWidth="1"/>
    <col min="5" max="5" width="13.54296875" style="25" bestFit="1" customWidth="1"/>
    <col min="6" max="6" width="11.54296875" style="25" customWidth="1"/>
    <col min="7" max="7" width="14.7265625" style="25" customWidth="1"/>
    <col min="8" max="8" width="10" style="25" customWidth="1"/>
    <col min="9" max="9" width="25.26953125" style="25" bestFit="1" customWidth="1"/>
    <col min="10" max="10" width="24.08984375" style="26" bestFit="1" customWidth="1"/>
    <col min="11" max="11" width="8.7265625" style="25"/>
    <col min="12" max="12" width="13.54296875" style="26" customWidth="1"/>
    <col min="13" max="16384" width="8.7265625" style="25"/>
  </cols>
  <sheetData>
    <row r="1" spans="1:12" ht="18.5" x14ac:dyDescent="0.45">
      <c r="A1" s="115" t="s">
        <v>81</v>
      </c>
    </row>
    <row r="2" spans="1:12" x14ac:dyDescent="0.35">
      <c r="A2" s="116" t="s">
        <v>82</v>
      </c>
    </row>
    <row r="3" spans="1:12" x14ac:dyDescent="0.35">
      <c r="A3" s="117" t="s">
        <v>41</v>
      </c>
      <c r="B3" s="18" t="str">
        <f>'CGT Summary'!$B$3</f>
        <v>2025-26</v>
      </c>
      <c r="D3" s="118" t="s">
        <v>88</v>
      </c>
      <c r="E3" s="19">
        <f>ROWS(_xlfn.ANCHORARRAY(A7))</f>
        <v>1</v>
      </c>
    </row>
    <row r="4" spans="1:12" x14ac:dyDescent="0.35">
      <c r="A4" s="117" t="s">
        <v>83</v>
      </c>
      <c r="B4" s="20" t="e">
        <f>_xlfn.XLOOKUP('CGT Summary'!$B$3,'CGT Summary'!$B$22:$B$31,'CGT Summary'!$D$22:$D$31)</f>
        <v>#N/A</v>
      </c>
      <c r="D4" s="118" t="s">
        <v>89</v>
      </c>
      <c r="E4" s="21">
        <f>IFERROR(SUM(INDEX(_xlfn.ANCHORARRAY(A7),0,7)),0)</f>
        <v>0</v>
      </c>
    </row>
    <row r="5" spans="1:12" x14ac:dyDescent="0.35">
      <c r="A5" s="117"/>
      <c r="B5" s="119"/>
      <c r="D5" s="118"/>
      <c r="E5" s="120"/>
    </row>
    <row r="6" spans="1:12" s="30" customFormat="1" ht="29" x14ac:dyDescent="0.35">
      <c r="A6" s="121" t="s">
        <v>153</v>
      </c>
      <c r="B6" s="121" t="s">
        <v>13</v>
      </c>
      <c r="C6" s="122" t="s">
        <v>84</v>
      </c>
      <c r="D6" s="123" t="s">
        <v>85</v>
      </c>
      <c r="E6" s="123" t="s">
        <v>86</v>
      </c>
      <c r="F6" s="123" t="s">
        <v>9</v>
      </c>
      <c r="G6" s="124" t="s">
        <v>87</v>
      </c>
      <c r="I6" s="125" t="s">
        <v>153</v>
      </c>
      <c r="J6" s="125" t="s">
        <v>13</v>
      </c>
      <c r="K6" s="124" t="s">
        <v>91</v>
      </c>
      <c r="L6" s="126" t="s">
        <v>87</v>
      </c>
    </row>
    <row r="7" spans="1:12" x14ac:dyDescent="0.35">
      <c r="A7" s="22" t="str" cm="1">
        <f t="array" ref="A7">_xlfn.LET(_xlpm.cutoff,$B$4,_xlpm.buy,_xlfn.ANCHORARRAY(Parsed!$K$2),_xlpm.bAcct,_xlfn.CHOOSECOLS(_xlpm.buy,1),_xlpm.bTkr,_xlfn.CHOOSECOLS(_xlpm.buy,2),_xlpm.bDate,_xlfn.CHOOSECOLS(_xlpm.buy,3),_xlpm.bQty,_xlfn.CHOOSECOLS(_xlpm.buy,4),_xlpm.bPrice,_xlfn.CHOOSECOLS(_xlpm.buy,5),_xlpm.bCostB,_xlfn.CHOOSECOLS(_xlpm.buy,7),_xlpm.bCum,_xlfn.CHOOSECOLS(_xlpm.buy,9),_xlpm.sell,_xlfn.ANCHORARRAY(Parsed!$U$2),_xlpm.sAcct,_xlfn.CHOOSECOLS(_xlpm.sell,1),_xlpm.sTkr,_xlfn.CHOOSECOLS(_xlpm.sell,2),_xlpm.sDate,_xlfn.CHOOSECOLS(_xlpm.sell,3),_xlpm.sQty,_xlfn.CHOOSECOLS(_xlpm.sell,4),_xlpm.rpAcct,'Cost Base Adjustments'!$A$72:$A$90,_xlpm.rpTkr,'Cost Base Adjustments'!$B$72:$B$90,_xlpm.rpEff,'Cost Base Adjustments'!$C$72:$C$90,_xlpm.rpFac,'Cost Base Adjustments'!$D$72:$D$90,_xlpm.rpm,(_xlpm.rpTkr&lt;&gt;"")*ISNUMBER(_xlpm.rpEff)*ISNUMBER(_xlpm.rpFac),_xlpm.buyStart,_xlpm.bCum-_xlpm.bQty,_xlpm.soldToDate,_xlfn.MAP(_xlpm.bAcct,_xlpm.bTkr,_xlfn.LAMBDA(_xlpm.a,_xlpm.t,SUMPRODUCT((_xlpm.sAcct=_xlpm.a)*(_xlpm.sTkr=_xlpm.t)*(_xlpm.sDate&lt;=_xlpm.cutoff)*_xlpm.sQty))),_xlpm.soldFromLot,_xlfn.MAP(_xlpm.bCum,_xlpm.buyStart,_xlpm.soldToDate,_xlfn.LAMBDA(_xlpm.bc,_xlpm.st,_xlpm.sd,MAX(0,MIN(_xlpm.bc,_xlpm.sd)-_xlpm.st))),_xlpm.remQty,_xlpm.bQty-_xlpm.soldFromLot,_xlpm.cbFactor,_xlfn.MAP(_xlpm.bAcct,_xlpm.bTkr,_xlpm.bDate,_xlfn.LAMBDA(_xlpm.a,_xlpm.t,_xlpm.bd,PRODUCT(IF((_xlpm.rpAcct=_xlpm.a)*(_xlpm.rpTkr=_xlpm.t)*(_xlpm.bd&lt;=_xlpm.rpEff)*(_xlpm.cutoff&gt;=_xlpm.rpEff)*_xlpm.rpm=1,_xlpm.rpFac,1)))),_xlpm.remCostB,_xlpm.bCostB/_xlpm.bQty*_xlpm.remQty*_xlpm.cbFactor,_xlpm.keep,(_xlpm.bDate&lt;=_xlpm.cutoff)*(_xlpm.remQty&gt;0.0000001),_xlpm.result,_xlfn.HSTACK(_xlpm.bAcct,_xlpm.bTkr,_xlpm.bDate,_xlpm.remQty,_xlpm.bQty,_xlpm.bPrice,_xlpm.remCostB),IFERROR(_xlfn._xlws.SORT(_xlfn._xlws.FILTER(_xlpm.result,_xlpm.keep=1),{1,2,3},{1,1,1}),"No holdings"))</f>
        <v>No holdings</v>
      </c>
      <c r="B7" s="127"/>
      <c r="C7" s="128"/>
      <c r="D7" s="129"/>
      <c r="E7" s="129"/>
      <c r="F7" s="130"/>
      <c r="G7" s="107"/>
      <c r="I7" s="1" t="str" cm="1">
        <f t="array" ref="I7">IFERROR(_xlfn.LET(_xlpm.d,_xlfn.ANCHORARRAY(A7),_xlpm.acct,_xlfn.CHOOSECOLS(_xlpm.d,1),_xlpm.tkr,_xlfn.CHOOSECOLS(_xlpm.d,2),_xlpm.qty,_xlfn.CHOOSECOLS(_xlpm.d,4),_xlpm.cb,_xlfn.CHOOSECOLS(_xlpm.d,7),_xlpm.u,_xlfn._xlws.SORT(_xlfn.UNIQUE(_xlfn.HSTACK(_xlpm.acct,_xlpm.tkr)),{1,2},{1,1}),_xlpm.uAcct,_xlfn.CHOOSECOLS(_xlpm.u,1),_xlpm.uTkr,_xlfn.CHOOSECOLS(_xlpm.u,2),_xlpm.tq,_xlfn.MAP(_xlpm.uAcct,_xlpm.uTkr,_xlfn.LAMBDA(_xlpm.a,_xlpm.t,SUMPRODUCT((_xlpm.acct=_xlpm.a)*(_xlpm.tkr=_xlpm.t)*_xlpm.qty))),_xlpm.tc,_xlfn.MAP(_xlpm.uAcct,_xlpm.uTkr,_xlfn.LAMBDA(_xlpm.a,_xlpm.t,SUMPRODUCT((_xlpm.acct=_xlpm.a)*(_xlpm.tkr=_xlpm.t)*_xlpm.cb))),_xlfn.HSTACK(_xlpm.uAcct,_xlpm.uTkr,_xlpm.tq,_xlpm.tc)),"No holdings")</f>
        <v>No holdings</v>
      </c>
      <c r="J7" s="25"/>
      <c r="K7" s="82"/>
    </row>
    <row r="8" spans="1:12" x14ac:dyDescent="0.35">
      <c r="A8" s="127"/>
      <c r="B8" s="127"/>
      <c r="C8" s="128"/>
      <c r="D8" s="129"/>
      <c r="E8" s="129"/>
      <c r="F8" s="130"/>
      <c r="G8" s="107"/>
      <c r="J8" s="25"/>
      <c r="K8" s="82"/>
    </row>
    <row r="9" spans="1:12" x14ac:dyDescent="0.35">
      <c r="A9" s="127"/>
      <c r="B9" s="127"/>
      <c r="C9" s="128"/>
      <c r="D9" s="129"/>
      <c r="E9" s="129"/>
      <c r="F9" s="130"/>
      <c r="G9" s="107"/>
      <c r="J9" s="25"/>
      <c r="K9" s="82"/>
    </row>
    <row r="10" spans="1:12" x14ac:dyDescent="0.35">
      <c r="A10" s="127"/>
      <c r="B10" s="127"/>
      <c r="C10" s="128"/>
      <c r="D10" s="129"/>
      <c r="E10" s="129"/>
      <c r="F10" s="130"/>
      <c r="G10" s="107"/>
      <c r="J10" s="25"/>
      <c r="K10" s="82"/>
    </row>
    <row r="11" spans="1:12" x14ac:dyDescent="0.35">
      <c r="A11" s="127"/>
      <c r="B11" s="127"/>
      <c r="C11" s="128"/>
      <c r="D11" s="129"/>
      <c r="E11" s="129"/>
      <c r="F11" s="130"/>
      <c r="G11" s="107"/>
      <c r="J11" s="25"/>
      <c r="K11" s="82"/>
    </row>
    <row r="12" spans="1:12" x14ac:dyDescent="0.35">
      <c r="A12" s="127"/>
      <c r="B12" s="127"/>
      <c r="C12" s="128"/>
      <c r="D12" s="129"/>
      <c r="E12" s="129"/>
      <c r="F12" s="130"/>
      <c r="G12" s="107"/>
      <c r="J12" s="25"/>
      <c r="K12" s="82"/>
    </row>
    <row r="13" spans="1:12" x14ac:dyDescent="0.35">
      <c r="A13" s="127"/>
      <c r="B13" s="127"/>
      <c r="C13" s="128"/>
      <c r="D13" s="129"/>
      <c r="E13" s="129"/>
      <c r="F13" s="130"/>
      <c r="G13" s="107"/>
      <c r="J13" s="25"/>
    </row>
    <row r="14" spans="1:12" x14ac:dyDescent="0.35">
      <c r="A14" s="127"/>
      <c r="B14" s="127"/>
      <c r="C14" s="128"/>
      <c r="D14" s="129"/>
      <c r="E14" s="129"/>
      <c r="F14" s="130"/>
      <c r="G14" s="107"/>
      <c r="J14" s="25"/>
    </row>
    <row r="15" spans="1:12" x14ac:dyDescent="0.35">
      <c r="A15" s="127"/>
      <c r="B15" s="127"/>
      <c r="C15" s="128"/>
      <c r="D15" s="129"/>
      <c r="E15" s="129"/>
      <c r="F15" s="130"/>
      <c r="G15" s="107"/>
      <c r="J15" s="25"/>
    </row>
    <row r="16" spans="1:12" x14ac:dyDescent="0.35">
      <c r="A16" s="127"/>
      <c r="B16" s="127"/>
      <c r="C16" s="128"/>
      <c r="D16" s="129"/>
      <c r="E16" s="129"/>
      <c r="F16" s="130"/>
      <c r="G16" s="107"/>
      <c r="J16" s="25"/>
    </row>
    <row r="17" spans="1:10" x14ac:dyDescent="0.35">
      <c r="A17" s="127"/>
      <c r="B17" s="127"/>
      <c r="C17" s="128"/>
      <c r="D17" s="129"/>
      <c r="E17" s="129"/>
      <c r="F17" s="130"/>
      <c r="G17" s="107"/>
      <c r="J17" s="25"/>
    </row>
    <row r="18" spans="1:10" x14ac:dyDescent="0.35">
      <c r="A18" s="127"/>
      <c r="B18" s="127"/>
      <c r="C18" s="128"/>
      <c r="D18" s="129"/>
      <c r="E18" s="129"/>
      <c r="F18" s="130"/>
      <c r="G18" s="107"/>
      <c r="J18" s="25"/>
    </row>
    <row r="19" spans="1:10" x14ac:dyDescent="0.35">
      <c r="A19" s="127"/>
      <c r="B19" s="131"/>
      <c r="C19" s="128"/>
      <c r="D19" s="129"/>
      <c r="E19" s="130"/>
      <c r="F19" s="132"/>
      <c r="J19" s="25"/>
    </row>
    <row r="20" spans="1:10" x14ac:dyDescent="0.35">
      <c r="A20" s="127"/>
      <c r="B20" s="131"/>
      <c r="C20" s="128"/>
      <c r="D20" s="129"/>
      <c r="E20" s="130"/>
      <c r="F20" s="132"/>
      <c r="J20" s="25"/>
    </row>
    <row r="21" spans="1:10" x14ac:dyDescent="0.35">
      <c r="A21" s="127"/>
      <c r="B21" s="131"/>
      <c r="C21" s="128"/>
      <c r="D21" s="129"/>
      <c r="E21" s="130"/>
      <c r="F21" s="132"/>
      <c r="I21" s="82"/>
      <c r="J21" s="133"/>
    </row>
    <row r="22" spans="1:10" x14ac:dyDescent="0.35">
      <c r="A22" s="127"/>
      <c r="B22" s="131"/>
      <c r="C22" s="128"/>
      <c r="D22" s="129"/>
      <c r="E22" s="130"/>
      <c r="F22" s="132"/>
      <c r="I22" s="82"/>
      <c r="J22" s="133"/>
    </row>
    <row r="23" spans="1:10" x14ac:dyDescent="0.35">
      <c r="A23" s="127"/>
      <c r="B23" s="131"/>
      <c r="C23" s="128"/>
      <c r="D23" s="129"/>
      <c r="E23" s="130"/>
      <c r="F23" s="132"/>
      <c r="I23" s="82"/>
      <c r="J23" s="133"/>
    </row>
    <row r="24" spans="1:10" x14ac:dyDescent="0.35">
      <c r="A24" s="127"/>
      <c r="B24" s="131"/>
      <c r="C24" s="128"/>
      <c r="D24" s="129"/>
      <c r="E24" s="130"/>
      <c r="F24" s="132"/>
      <c r="I24" s="82"/>
      <c r="J24" s="133"/>
    </row>
    <row r="25" spans="1:10" x14ac:dyDescent="0.35">
      <c r="A25" s="127"/>
      <c r="B25" s="131"/>
      <c r="C25" s="128"/>
      <c r="D25" s="129"/>
      <c r="E25" s="130"/>
      <c r="F25" s="132"/>
      <c r="I25" s="82"/>
      <c r="J25" s="133"/>
    </row>
    <row r="26" spans="1:10" x14ac:dyDescent="0.35">
      <c r="A26" s="127"/>
      <c r="B26" s="131"/>
      <c r="C26" s="128"/>
      <c r="D26" s="129"/>
      <c r="E26" s="130"/>
      <c r="F26" s="132"/>
      <c r="I26" s="82"/>
      <c r="J26" s="133"/>
    </row>
    <row r="27" spans="1:10" x14ac:dyDescent="0.35">
      <c r="A27" s="127"/>
      <c r="B27" s="131"/>
      <c r="C27" s="128"/>
      <c r="D27" s="129"/>
      <c r="E27" s="130"/>
      <c r="F27" s="132"/>
      <c r="I27" s="82"/>
      <c r="J27" s="133"/>
    </row>
    <row r="28" spans="1:10" x14ac:dyDescent="0.35">
      <c r="A28" s="127"/>
      <c r="B28" s="131"/>
      <c r="C28" s="128"/>
      <c r="D28" s="129"/>
      <c r="E28" s="130"/>
      <c r="F28" s="132"/>
      <c r="I28" s="82"/>
      <c r="J28" s="133"/>
    </row>
    <row r="29" spans="1:10" x14ac:dyDescent="0.35">
      <c r="A29" s="127"/>
      <c r="B29" s="131"/>
      <c r="C29" s="128"/>
      <c r="D29" s="129"/>
      <c r="E29" s="130"/>
      <c r="F29" s="132"/>
      <c r="I29" s="82"/>
      <c r="J29" s="133"/>
    </row>
    <row r="30" spans="1:10" x14ac:dyDescent="0.35">
      <c r="A30" s="127"/>
      <c r="B30" s="131"/>
      <c r="C30" s="128"/>
      <c r="D30" s="129"/>
      <c r="E30" s="130"/>
      <c r="F30" s="132"/>
      <c r="I30" s="82"/>
      <c r="J30" s="133"/>
    </row>
    <row r="31" spans="1:10" x14ac:dyDescent="0.35">
      <c r="A31" s="127"/>
      <c r="B31" s="131"/>
      <c r="C31" s="128"/>
      <c r="D31" s="129"/>
      <c r="E31" s="130"/>
      <c r="F31" s="132"/>
      <c r="I31" s="82"/>
      <c r="J31" s="133"/>
    </row>
    <row r="32" spans="1:10" x14ac:dyDescent="0.35">
      <c r="I32" s="82"/>
      <c r="J32" s="133"/>
    </row>
    <row r="54" spans="1:6" x14ac:dyDescent="0.35">
      <c r="A54" s="127"/>
      <c r="B54" s="131"/>
      <c r="C54" s="128"/>
      <c r="D54" s="129"/>
      <c r="E54" s="130"/>
      <c r="F54" s="132"/>
    </row>
    <row r="55" spans="1:6" x14ac:dyDescent="0.35">
      <c r="A55" s="127"/>
      <c r="B55" s="131"/>
      <c r="C55" s="128"/>
      <c r="D55" s="129"/>
      <c r="E55" s="130"/>
      <c r="F55" s="132"/>
    </row>
    <row r="56" spans="1:6" x14ac:dyDescent="0.35">
      <c r="A56" s="127"/>
      <c r="B56" s="131"/>
      <c r="C56" s="128"/>
      <c r="D56" s="129"/>
      <c r="E56" s="130"/>
      <c r="F56" s="132"/>
    </row>
    <row r="57" spans="1:6" x14ac:dyDescent="0.35">
      <c r="A57" s="127"/>
      <c r="B57" s="131"/>
      <c r="C57" s="128"/>
      <c r="D57" s="129"/>
      <c r="E57" s="130"/>
      <c r="F57" s="132"/>
    </row>
    <row r="58" spans="1:6" x14ac:dyDescent="0.35">
      <c r="A58" s="127"/>
      <c r="B58" s="131"/>
      <c r="C58" s="128"/>
      <c r="D58" s="129"/>
      <c r="E58" s="130"/>
      <c r="F58" s="132"/>
    </row>
    <row r="59" spans="1:6" x14ac:dyDescent="0.35">
      <c r="A59" s="127"/>
      <c r="B59" s="131"/>
      <c r="C59" s="128"/>
      <c r="D59" s="129"/>
      <c r="E59" s="130"/>
      <c r="F59" s="132"/>
    </row>
    <row r="60" spans="1:6" x14ac:dyDescent="0.35">
      <c r="A60" s="127"/>
      <c r="B60" s="131"/>
      <c r="C60" s="128"/>
      <c r="D60" s="129"/>
      <c r="E60" s="130"/>
      <c r="F60" s="132"/>
    </row>
    <row r="61" spans="1:6" x14ac:dyDescent="0.35">
      <c r="A61" s="127"/>
      <c r="B61" s="131"/>
      <c r="C61" s="128"/>
      <c r="D61" s="129"/>
      <c r="E61" s="130"/>
      <c r="F61" s="132"/>
    </row>
    <row r="62" spans="1:6" x14ac:dyDescent="0.35">
      <c r="A62" s="127"/>
      <c r="B62" s="131"/>
      <c r="C62" s="128"/>
      <c r="D62" s="129"/>
      <c r="E62" s="130"/>
      <c r="F62" s="132"/>
    </row>
    <row r="63" spans="1:6" x14ac:dyDescent="0.35">
      <c r="A63" s="127"/>
      <c r="B63" s="131"/>
      <c r="C63" s="128"/>
      <c r="D63" s="129"/>
      <c r="E63" s="130"/>
      <c r="F63" s="132"/>
    </row>
    <row r="64" spans="1:6" x14ac:dyDescent="0.35">
      <c r="A64" s="127"/>
      <c r="B64" s="131"/>
      <c r="C64" s="128"/>
      <c r="D64" s="129"/>
      <c r="E64" s="130"/>
      <c r="F64" s="132"/>
    </row>
    <row r="65" spans="1:6" x14ac:dyDescent="0.35">
      <c r="A65" s="127"/>
      <c r="B65" s="131"/>
      <c r="C65" s="128"/>
      <c r="D65" s="129"/>
      <c r="E65" s="130"/>
      <c r="F65" s="132"/>
    </row>
    <row r="66" spans="1:6" x14ac:dyDescent="0.35">
      <c r="A66" s="127"/>
      <c r="B66" s="131"/>
      <c r="C66" s="128"/>
      <c r="D66" s="129"/>
      <c r="E66" s="130"/>
      <c r="F66" s="132"/>
    </row>
    <row r="67" spans="1:6" x14ac:dyDescent="0.35">
      <c r="A67" s="127"/>
      <c r="B67" s="131"/>
      <c r="C67" s="128"/>
      <c r="D67" s="129"/>
      <c r="E67" s="130"/>
      <c r="F67" s="132"/>
    </row>
    <row r="68" spans="1:6" x14ac:dyDescent="0.35">
      <c r="A68" s="127"/>
      <c r="B68" s="131"/>
      <c r="C68" s="128"/>
      <c r="D68" s="129"/>
      <c r="E68" s="130"/>
      <c r="F68" s="132"/>
    </row>
    <row r="69" spans="1:6" x14ac:dyDescent="0.35">
      <c r="A69" s="127"/>
      <c r="B69" s="131"/>
      <c r="C69" s="128"/>
      <c r="D69" s="129"/>
      <c r="E69" s="130"/>
      <c r="F69" s="132"/>
    </row>
    <row r="70" spans="1:6" x14ac:dyDescent="0.35">
      <c r="A70" s="127"/>
      <c r="B70" s="131"/>
      <c r="C70" s="128"/>
      <c r="D70" s="129"/>
      <c r="E70" s="130"/>
      <c r="F70" s="132"/>
    </row>
    <row r="71" spans="1:6" x14ac:dyDescent="0.35">
      <c r="A71" s="127"/>
      <c r="B71" s="131"/>
      <c r="C71" s="128"/>
      <c r="D71" s="129"/>
      <c r="E71" s="130"/>
      <c r="F71" s="132"/>
    </row>
    <row r="72" spans="1:6" x14ac:dyDescent="0.35">
      <c r="A72" s="127"/>
      <c r="B72" s="131"/>
      <c r="C72" s="128"/>
      <c r="D72" s="129"/>
      <c r="E72" s="130"/>
      <c r="F72" s="132"/>
    </row>
    <row r="73" spans="1:6" x14ac:dyDescent="0.35">
      <c r="A73" s="127"/>
      <c r="B73" s="131"/>
      <c r="C73" s="128"/>
      <c r="D73" s="129"/>
      <c r="E73" s="130"/>
      <c r="F73" s="132"/>
    </row>
    <row r="74" spans="1:6" x14ac:dyDescent="0.35">
      <c r="A74" s="127"/>
      <c r="B74" s="131"/>
      <c r="C74" s="128"/>
      <c r="D74" s="129"/>
      <c r="E74" s="130"/>
      <c r="F74" s="132"/>
    </row>
    <row r="75" spans="1:6" x14ac:dyDescent="0.35">
      <c r="A75" s="127"/>
      <c r="B75" s="131"/>
      <c r="C75" s="128"/>
      <c r="D75" s="129"/>
      <c r="E75" s="130"/>
      <c r="F75" s="132"/>
    </row>
    <row r="76" spans="1:6" x14ac:dyDescent="0.35">
      <c r="A76" s="127"/>
      <c r="B76" s="131"/>
      <c r="C76" s="128"/>
      <c r="D76" s="129"/>
      <c r="E76" s="130"/>
      <c r="F76" s="132"/>
    </row>
    <row r="77" spans="1:6" x14ac:dyDescent="0.35">
      <c r="A77" s="127"/>
      <c r="B77" s="131"/>
      <c r="C77" s="128"/>
      <c r="D77" s="129"/>
      <c r="E77" s="130"/>
      <c r="F77" s="132"/>
    </row>
    <row r="78" spans="1:6" x14ac:dyDescent="0.35">
      <c r="A78" s="127"/>
      <c r="B78" s="131"/>
      <c r="C78" s="128"/>
      <c r="D78" s="129"/>
      <c r="E78" s="130"/>
      <c r="F78" s="132"/>
    </row>
    <row r="79" spans="1:6" x14ac:dyDescent="0.35">
      <c r="A79" s="127"/>
      <c r="B79" s="131"/>
      <c r="C79" s="128"/>
      <c r="D79" s="129"/>
      <c r="E79" s="130"/>
      <c r="F79" s="132"/>
    </row>
    <row r="80" spans="1:6" x14ac:dyDescent="0.35">
      <c r="A80" s="127"/>
      <c r="B80" s="131"/>
      <c r="C80" s="128"/>
      <c r="D80" s="129"/>
      <c r="E80" s="130"/>
      <c r="F80" s="132"/>
    </row>
    <row r="81" spans="1:6" x14ac:dyDescent="0.35">
      <c r="A81" s="127"/>
      <c r="B81" s="131"/>
      <c r="C81" s="128"/>
      <c r="D81" s="129"/>
      <c r="E81" s="130"/>
      <c r="F81" s="132"/>
    </row>
    <row r="82" spans="1:6" x14ac:dyDescent="0.35">
      <c r="A82" s="127"/>
      <c r="B82" s="131"/>
      <c r="C82" s="128"/>
      <c r="D82" s="129"/>
      <c r="E82" s="130"/>
      <c r="F82" s="132"/>
    </row>
    <row r="83" spans="1:6" x14ac:dyDescent="0.35">
      <c r="A83" s="127"/>
      <c r="B83" s="131"/>
      <c r="C83" s="128"/>
      <c r="D83" s="129"/>
      <c r="E83" s="130"/>
      <c r="F83" s="132"/>
    </row>
  </sheetData>
  <sheetProtection formatCells="0" formatColumns="0" formatRows="0" insertRows="0" deleteRows="0" sort="0" autoFilter="0"/>
  <conditionalFormatting sqref="A1:L7">
    <cfRule type="expression" dxfId="7"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D078-180D-4E30-84A8-39CF54C96F4F}">
  <sheetPr>
    <tabColor theme="5" tint="0.79998168889431442"/>
  </sheetPr>
  <dimension ref="A2:F501"/>
  <sheetViews>
    <sheetView workbookViewId="0">
      <selection activeCell="F6" sqref="F6"/>
    </sheetView>
  </sheetViews>
  <sheetFormatPr defaultRowHeight="14.5" x14ac:dyDescent="0.35"/>
  <cols>
    <col min="1" max="1" width="28.90625" style="25" bestFit="1" customWidth="1"/>
    <col min="2" max="2" width="19.7265625" style="26" bestFit="1" customWidth="1"/>
    <col min="3" max="3" width="23.6328125" style="26" bestFit="1" customWidth="1"/>
    <col min="4" max="4" width="10.6328125" style="26" bestFit="1" customWidth="1"/>
    <col min="5" max="5" width="21.453125" style="25" bestFit="1" customWidth="1"/>
    <col min="6" max="16384" width="8.7265625" style="25"/>
  </cols>
  <sheetData>
    <row r="2" spans="1:6" x14ac:dyDescent="0.35">
      <c r="A2" s="51" t="s">
        <v>41</v>
      </c>
      <c r="B2" s="15" t="s">
        <v>124</v>
      </c>
      <c r="C2" s="103" t="s">
        <v>160</v>
      </c>
      <c r="D2" s="25"/>
    </row>
    <row r="3" spans="1:6" x14ac:dyDescent="0.35">
      <c r="B3" s="25"/>
      <c r="C3" s="25"/>
      <c r="D3" s="25"/>
    </row>
    <row r="4" spans="1:6" s="51" customFormat="1" ht="15" thickBot="1" x14ac:dyDescent="0.4">
      <c r="A4" s="134" t="s">
        <v>164</v>
      </c>
      <c r="B4" s="23">
        <f>SUM(B7:B1048576)</f>
        <v>0</v>
      </c>
      <c r="C4" s="23">
        <f>SUM(C7:C1048576)</f>
        <v>0</v>
      </c>
      <c r="D4" s="23">
        <f t="shared" ref="D4:E4" si="0">SUM(D7:D1048576)</f>
        <v>0</v>
      </c>
      <c r="E4" s="23">
        <f t="shared" si="0"/>
        <v>0</v>
      </c>
    </row>
    <row r="5" spans="1:6" s="51" customFormat="1" ht="15" thickTop="1" x14ac:dyDescent="0.35">
      <c r="A5" s="134"/>
      <c r="B5" s="135"/>
      <c r="C5" s="135"/>
      <c r="D5" s="135"/>
    </row>
    <row r="6" spans="1:6" x14ac:dyDescent="0.35">
      <c r="A6" s="51" t="s">
        <v>166</v>
      </c>
      <c r="B6" s="51" t="s">
        <v>167</v>
      </c>
      <c r="C6" s="51" t="s">
        <v>168</v>
      </c>
      <c r="D6" s="51" t="s">
        <v>169</v>
      </c>
      <c r="E6" s="51" t="s">
        <v>170</v>
      </c>
      <c r="F6" s="103" t="s">
        <v>225</v>
      </c>
    </row>
    <row r="7" spans="1:6" x14ac:dyDescent="0.35">
      <c r="E7" s="24" t="str">
        <f>IF(COUNT(B7:C7)=0,"",SUM(B7:C7))</f>
        <v/>
      </c>
    </row>
    <row r="8" spans="1:6" x14ac:dyDescent="0.35">
      <c r="E8" s="24" t="str">
        <f t="shared" ref="E8:E71" si="1">IF(COUNT(B8:C8)=0,"",SUM(B8:C8))</f>
        <v/>
      </c>
    </row>
    <row r="9" spans="1:6" x14ac:dyDescent="0.35">
      <c r="E9" s="24" t="str">
        <f t="shared" si="1"/>
        <v/>
      </c>
    </row>
    <row r="10" spans="1:6" x14ac:dyDescent="0.35">
      <c r="E10" s="24" t="str">
        <f t="shared" si="1"/>
        <v/>
      </c>
    </row>
    <row r="11" spans="1:6" x14ac:dyDescent="0.35">
      <c r="E11" s="24" t="str">
        <f t="shared" si="1"/>
        <v/>
      </c>
    </row>
    <row r="12" spans="1:6" x14ac:dyDescent="0.35">
      <c r="E12" s="24" t="str">
        <f t="shared" si="1"/>
        <v/>
      </c>
    </row>
    <row r="13" spans="1:6" x14ac:dyDescent="0.35">
      <c r="E13" s="24" t="str">
        <f t="shared" si="1"/>
        <v/>
      </c>
    </row>
    <row r="14" spans="1:6" x14ac:dyDescent="0.35">
      <c r="E14" s="24" t="str">
        <f t="shared" si="1"/>
        <v/>
      </c>
    </row>
    <row r="15" spans="1:6" x14ac:dyDescent="0.35">
      <c r="E15" s="24" t="str">
        <f t="shared" si="1"/>
        <v/>
      </c>
    </row>
    <row r="16" spans="1:6" x14ac:dyDescent="0.35">
      <c r="E16" s="24" t="str">
        <f t="shared" si="1"/>
        <v/>
      </c>
    </row>
    <row r="17" spans="5:5" x14ac:dyDescent="0.35">
      <c r="E17" s="24" t="str">
        <f t="shared" si="1"/>
        <v/>
      </c>
    </row>
    <row r="18" spans="5:5" x14ac:dyDescent="0.35">
      <c r="E18" s="24" t="str">
        <f t="shared" si="1"/>
        <v/>
      </c>
    </row>
    <row r="19" spans="5:5" x14ac:dyDescent="0.35">
      <c r="E19" s="24" t="str">
        <f t="shared" si="1"/>
        <v/>
      </c>
    </row>
    <row r="20" spans="5:5" x14ac:dyDescent="0.35">
      <c r="E20" s="24" t="str">
        <f t="shared" si="1"/>
        <v/>
      </c>
    </row>
    <row r="21" spans="5:5" x14ac:dyDescent="0.35">
      <c r="E21" s="24" t="str">
        <f t="shared" si="1"/>
        <v/>
      </c>
    </row>
    <row r="22" spans="5:5" x14ac:dyDescent="0.35">
      <c r="E22" s="24" t="str">
        <f t="shared" si="1"/>
        <v/>
      </c>
    </row>
    <row r="23" spans="5:5" x14ac:dyDescent="0.35">
      <c r="E23" s="24" t="str">
        <f t="shared" si="1"/>
        <v/>
      </c>
    </row>
    <row r="24" spans="5:5" x14ac:dyDescent="0.35">
      <c r="E24" s="24" t="str">
        <f t="shared" si="1"/>
        <v/>
      </c>
    </row>
    <row r="25" spans="5:5" x14ac:dyDescent="0.35">
      <c r="E25" s="24" t="str">
        <f t="shared" si="1"/>
        <v/>
      </c>
    </row>
    <row r="26" spans="5:5" x14ac:dyDescent="0.35">
      <c r="E26" s="24" t="str">
        <f t="shared" si="1"/>
        <v/>
      </c>
    </row>
    <row r="27" spans="5:5" x14ac:dyDescent="0.35">
      <c r="E27" s="24" t="str">
        <f t="shared" si="1"/>
        <v/>
      </c>
    </row>
    <row r="28" spans="5:5" x14ac:dyDescent="0.35">
      <c r="E28" s="24" t="str">
        <f t="shared" si="1"/>
        <v/>
      </c>
    </row>
    <row r="29" spans="5:5" x14ac:dyDescent="0.35">
      <c r="E29" s="24" t="str">
        <f t="shared" si="1"/>
        <v/>
      </c>
    </row>
    <row r="30" spans="5:5" x14ac:dyDescent="0.35">
      <c r="E30" s="24" t="str">
        <f t="shared" si="1"/>
        <v/>
      </c>
    </row>
    <row r="31" spans="5:5" x14ac:dyDescent="0.35">
      <c r="E31" s="24" t="str">
        <f t="shared" si="1"/>
        <v/>
      </c>
    </row>
    <row r="32" spans="5:5" x14ac:dyDescent="0.35">
      <c r="E32" s="24" t="str">
        <f t="shared" si="1"/>
        <v/>
      </c>
    </row>
    <row r="33" spans="5:5" x14ac:dyDescent="0.35">
      <c r="E33" s="24" t="str">
        <f t="shared" si="1"/>
        <v/>
      </c>
    </row>
    <row r="34" spans="5:5" x14ac:dyDescent="0.35">
      <c r="E34" s="24" t="str">
        <f t="shared" si="1"/>
        <v/>
      </c>
    </row>
    <row r="35" spans="5:5" x14ac:dyDescent="0.35">
      <c r="E35" s="24" t="str">
        <f t="shared" si="1"/>
        <v/>
      </c>
    </row>
    <row r="36" spans="5:5" x14ac:dyDescent="0.35">
      <c r="E36" s="24" t="str">
        <f t="shared" si="1"/>
        <v/>
      </c>
    </row>
    <row r="37" spans="5:5" x14ac:dyDescent="0.35">
      <c r="E37" s="24" t="str">
        <f t="shared" si="1"/>
        <v/>
      </c>
    </row>
    <row r="38" spans="5:5" x14ac:dyDescent="0.35">
      <c r="E38" s="24" t="str">
        <f t="shared" si="1"/>
        <v/>
      </c>
    </row>
    <row r="39" spans="5:5" x14ac:dyDescent="0.35">
      <c r="E39" s="24" t="str">
        <f t="shared" si="1"/>
        <v/>
      </c>
    </row>
    <row r="40" spans="5:5" x14ac:dyDescent="0.35">
      <c r="E40" s="24" t="str">
        <f t="shared" si="1"/>
        <v/>
      </c>
    </row>
    <row r="41" spans="5:5" x14ac:dyDescent="0.35">
      <c r="E41" s="24" t="str">
        <f t="shared" si="1"/>
        <v/>
      </c>
    </row>
    <row r="42" spans="5:5" x14ac:dyDescent="0.35">
      <c r="E42" s="24" t="str">
        <f t="shared" si="1"/>
        <v/>
      </c>
    </row>
    <row r="43" spans="5:5" x14ac:dyDescent="0.35">
      <c r="E43" s="24" t="str">
        <f t="shared" si="1"/>
        <v/>
      </c>
    </row>
    <row r="44" spans="5:5" x14ac:dyDescent="0.35">
      <c r="E44" s="24" t="str">
        <f t="shared" si="1"/>
        <v/>
      </c>
    </row>
    <row r="45" spans="5:5" x14ac:dyDescent="0.35">
      <c r="E45" s="24" t="str">
        <f t="shared" si="1"/>
        <v/>
      </c>
    </row>
    <row r="46" spans="5:5" x14ac:dyDescent="0.35">
      <c r="E46" s="24" t="str">
        <f t="shared" si="1"/>
        <v/>
      </c>
    </row>
    <row r="47" spans="5:5" x14ac:dyDescent="0.35">
      <c r="E47" s="24" t="str">
        <f t="shared" si="1"/>
        <v/>
      </c>
    </row>
    <row r="48" spans="5:5" x14ac:dyDescent="0.35">
      <c r="E48" s="24" t="str">
        <f t="shared" si="1"/>
        <v/>
      </c>
    </row>
    <row r="49" spans="5:5" x14ac:dyDescent="0.35">
      <c r="E49" s="24" t="str">
        <f t="shared" si="1"/>
        <v/>
      </c>
    </row>
    <row r="50" spans="5:5" x14ac:dyDescent="0.35">
      <c r="E50" s="24" t="str">
        <f t="shared" si="1"/>
        <v/>
      </c>
    </row>
    <row r="51" spans="5:5" x14ac:dyDescent="0.35">
      <c r="E51" s="24" t="str">
        <f t="shared" si="1"/>
        <v/>
      </c>
    </row>
    <row r="52" spans="5:5" x14ac:dyDescent="0.35">
      <c r="E52" s="24" t="str">
        <f t="shared" si="1"/>
        <v/>
      </c>
    </row>
    <row r="53" spans="5:5" x14ac:dyDescent="0.35">
      <c r="E53" s="24" t="str">
        <f t="shared" si="1"/>
        <v/>
      </c>
    </row>
    <row r="54" spans="5:5" x14ac:dyDescent="0.35">
      <c r="E54" s="24" t="str">
        <f t="shared" si="1"/>
        <v/>
      </c>
    </row>
    <row r="55" spans="5:5" x14ac:dyDescent="0.35">
      <c r="E55" s="24" t="str">
        <f t="shared" si="1"/>
        <v/>
      </c>
    </row>
    <row r="56" spans="5:5" x14ac:dyDescent="0.35">
      <c r="E56" s="24" t="str">
        <f t="shared" si="1"/>
        <v/>
      </c>
    </row>
    <row r="57" spans="5:5" x14ac:dyDescent="0.35">
      <c r="E57" s="24" t="str">
        <f t="shared" si="1"/>
        <v/>
      </c>
    </row>
    <row r="58" spans="5:5" x14ac:dyDescent="0.35">
      <c r="E58" s="24" t="str">
        <f t="shared" si="1"/>
        <v/>
      </c>
    </row>
    <row r="59" spans="5:5" x14ac:dyDescent="0.35">
      <c r="E59" s="24" t="str">
        <f t="shared" si="1"/>
        <v/>
      </c>
    </row>
    <row r="60" spans="5:5" x14ac:dyDescent="0.35">
      <c r="E60" s="24" t="str">
        <f t="shared" si="1"/>
        <v/>
      </c>
    </row>
    <row r="61" spans="5:5" x14ac:dyDescent="0.35">
      <c r="E61" s="24" t="str">
        <f t="shared" si="1"/>
        <v/>
      </c>
    </row>
    <row r="62" spans="5:5" x14ac:dyDescent="0.35">
      <c r="E62" s="24" t="str">
        <f t="shared" si="1"/>
        <v/>
      </c>
    </row>
    <row r="63" spans="5:5" x14ac:dyDescent="0.35">
      <c r="E63" s="24" t="str">
        <f t="shared" si="1"/>
        <v/>
      </c>
    </row>
    <row r="64" spans="5:5" x14ac:dyDescent="0.35">
      <c r="E64" s="24" t="str">
        <f t="shared" si="1"/>
        <v/>
      </c>
    </row>
    <row r="65" spans="5:5" x14ac:dyDescent="0.35">
      <c r="E65" s="24" t="str">
        <f t="shared" si="1"/>
        <v/>
      </c>
    </row>
    <row r="66" spans="5:5" x14ac:dyDescent="0.35">
      <c r="E66" s="24" t="str">
        <f t="shared" si="1"/>
        <v/>
      </c>
    </row>
    <row r="67" spans="5:5" x14ac:dyDescent="0.35">
      <c r="E67" s="24" t="str">
        <f t="shared" si="1"/>
        <v/>
      </c>
    </row>
    <row r="68" spans="5:5" x14ac:dyDescent="0.35">
      <c r="E68" s="24" t="str">
        <f t="shared" si="1"/>
        <v/>
      </c>
    </row>
    <row r="69" spans="5:5" x14ac:dyDescent="0.35">
      <c r="E69" s="24" t="str">
        <f t="shared" si="1"/>
        <v/>
      </c>
    </row>
    <row r="70" spans="5:5" x14ac:dyDescent="0.35">
      <c r="E70" s="24" t="str">
        <f t="shared" si="1"/>
        <v/>
      </c>
    </row>
    <row r="71" spans="5:5" x14ac:dyDescent="0.35">
      <c r="E71" s="24" t="str">
        <f t="shared" si="1"/>
        <v/>
      </c>
    </row>
    <row r="72" spans="5:5" x14ac:dyDescent="0.35">
      <c r="E72" s="24" t="str">
        <f t="shared" ref="E72:E135" si="2">IF(COUNT(B72:C72)=0,"",SUM(B72:C72))</f>
        <v/>
      </c>
    </row>
    <row r="73" spans="5:5" x14ac:dyDescent="0.35">
      <c r="E73" s="24" t="str">
        <f t="shared" si="2"/>
        <v/>
      </c>
    </row>
    <row r="74" spans="5:5" x14ac:dyDescent="0.35">
      <c r="E74" s="24" t="str">
        <f t="shared" si="2"/>
        <v/>
      </c>
    </row>
    <row r="75" spans="5:5" x14ac:dyDescent="0.35">
      <c r="E75" s="24" t="str">
        <f t="shared" si="2"/>
        <v/>
      </c>
    </row>
    <row r="76" spans="5:5" x14ac:dyDescent="0.35">
      <c r="E76" s="24" t="str">
        <f t="shared" si="2"/>
        <v/>
      </c>
    </row>
    <row r="77" spans="5:5" x14ac:dyDescent="0.35">
      <c r="E77" s="24" t="str">
        <f t="shared" si="2"/>
        <v/>
      </c>
    </row>
    <row r="78" spans="5:5" x14ac:dyDescent="0.35">
      <c r="E78" s="24" t="str">
        <f t="shared" si="2"/>
        <v/>
      </c>
    </row>
    <row r="79" spans="5:5" x14ac:dyDescent="0.35">
      <c r="E79" s="24" t="str">
        <f t="shared" si="2"/>
        <v/>
      </c>
    </row>
    <row r="80" spans="5:5" x14ac:dyDescent="0.35">
      <c r="E80" s="24" t="str">
        <f t="shared" si="2"/>
        <v/>
      </c>
    </row>
    <row r="81" spans="5:5" x14ac:dyDescent="0.35">
      <c r="E81" s="24" t="str">
        <f t="shared" si="2"/>
        <v/>
      </c>
    </row>
    <row r="82" spans="5:5" x14ac:dyDescent="0.35">
      <c r="E82" s="24" t="str">
        <f t="shared" si="2"/>
        <v/>
      </c>
    </row>
    <row r="83" spans="5:5" x14ac:dyDescent="0.35">
      <c r="E83" s="24" t="str">
        <f t="shared" si="2"/>
        <v/>
      </c>
    </row>
    <row r="84" spans="5:5" x14ac:dyDescent="0.35">
      <c r="E84" s="24" t="str">
        <f t="shared" si="2"/>
        <v/>
      </c>
    </row>
    <row r="85" spans="5:5" x14ac:dyDescent="0.35">
      <c r="E85" s="24" t="str">
        <f t="shared" si="2"/>
        <v/>
      </c>
    </row>
    <row r="86" spans="5:5" x14ac:dyDescent="0.35">
      <c r="E86" s="24" t="str">
        <f t="shared" si="2"/>
        <v/>
      </c>
    </row>
    <row r="87" spans="5:5" x14ac:dyDescent="0.35">
      <c r="E87" s="24" t="str">
        <f t="shared" si="2"/>
        <v/>
      </c>
    </row>
    <row r="88" spans="5:5" x14ac:dyDescent="0.35">
      <c r="E88" s="24" t="str">
        <f t="shared" si="2"/>
        <v/>
      </c>
    </row>
    <row r="89" spans="5:5" x14ac:dyDescent="0.35">
      <c r="E89" s="24" t="str">
        <f t="shared" si="2"/>
        <v/>
      </c>
    </row>
    <row r="90" spans="5:5" x14ac:dyDescent="0.35">
      <c r="E90" s="24" t="str">
        <f t="shared" si="2"/>
        <v/>
      </c>
    </row>
    <row r="91" spans="5:5" x14ac:dyDescent="0.35">
      <c r="E91" s="24" t="str">
        <f t="shared" si="2"/>
        <v/>
      </c>
    </row>
    <row r="92" spans="5:5" x14ac:dyDescent="0.35">
      <c r="E92" s="24" t="str">
        <f t="shared" si="2"/>
        <v/>
      </c>
    </row>
    <row r="93" spans="5:5" x14ac:dyDescent="0.35">
      <c r="E93" s="24" t="str">
        <f t="shared" si="2"/>
        <v/>
      </c>
    </row>
    <row r="94" spans="5:5" x14ac:dyDescent="0.35">
      <c r="E94" s="24" t="str">
        <f t="shared" si="2"/>
        <v/>
      </c>
    </row>
    <row r="95" spans="5:5" x14ac:dyDescent="0.35">
      <c r="E95" s="24" t="str">
        <f t="shared" si="2"/>
        <v/>
      </c>
    </row>
    <row r="96" spans="5:5" x14ac:dyDescent="0.35">
      <c r="E96" s="24" t="str">
        <f t="shared" si="2"/>
        <v/>
      </c>
    </row>
    <row r="97" spans="5:5" x14ac:dyDescent="0.35">
      <c r="E97" s="24" t="str">
        <f t="shared" si="2"/>
        <v/>
      </c>
    </row>
    <row r="98" spans="5:5" x14ac:dyDescent="0.35">
      <c r="E98" s="24" t="str">
        <f t="shared" si="2"/>
        <v/>
      </c>
    </row>
    <row r="99" spans="5:5" x14ac:dyDescent="0.35">
      <c r="E99" s="24" t="str">
        <f t="shared" si="2"/>
        <v/>
      </c>
    </row>
    <row r="100" spans="5:5" x14ac:dyDescent="0.35">
      <c r="E100" s="24" t="str">
        <f t="shared" si="2"/>
        <v/>
      </c>
    </row>
    <row r="101" spans="5:5" x14ac:dyDescent="0.35">
      <c r="E101" s="24" t="str">
        <f t="shared" si="2"/>
        <v/>
      </c>
    </row>
    <row r="102" spans="5:5" x14ac:dyDescent="0.35">
      <c r="E102" s="24" t="str">
        <f t="shared" si="2"/>
        <v/>
      </c>
    </row>
    <row r="103" spans="5:5" x14ac:dyDescent="0.35">
      <c r="E103" s="24" t="str">
        <f t="shared" si="2"/>
        <v/>
      </c>
    </row>
    <row r="104" spans="5:5" x14ac:dyDescent="0.35">
      <c r="E104" s="24" t="str">
        <f t="shared" si="2"/>
        <v/>
      </c>
    </row>
    <row r="105" spans="5:5" x14ac:dyDescent="0.35">
      <c r="E105" s="24" t="str">
        <f t="shared" si="2"/>
        <v/>
      </c>
    </row>
    <row r="106" spans="5:5" x14ac:dyDescent="0.35">
      <c r="E106" s="24" t="str">
        <f t="shared" si="2"/>
        <v/>
      </c>
    </row>
    <row r="107" spans="5:5" x14ac:dyDescent="0.35">
      <c r="E107" s="24" t="str">
        <f t="shared" si="2"/>
        <v/>
      </c>
    </row>
    <row r="108" spans="5:5" x14ac:dyDescent="0.35">
      <c r="E108" s="24" t="str">
        <f t="shared" si="2"/>
        <v/>
      </c>
    </row>
    <row r="109" spans="5:5" x14ac:dyDescent="0.35">
      <c r="E109" s="24" t="str">
        <f t="shared" si="2"/>
        <v/>
      </c>
    </row>
    <row r="110" spans="5:5" x14ac:dyDescent="0.35">
      <c r="E110" s="24" t="str">
        <f t="shared" si="2"/>
        <v/>
      </c>
    </row>
    <row r="111" spans="5:5" x14ac:dyDescent="0.35">
      <c r="E111" s="24" t="str">
        <f t="shared" si="2"/>
        <v/>
      </c>
    </row>
    <row r="112" spans="5:5" x14ac:dyDescent="0.35">
      <c r="E112" s="24" t="str">
        <f t="shared" si="2"/>
        <v/>
      </c>
    </row>
    <row r="113" spans="5:5" x14ac:dyDescent="0.35">
      <c r="E113" s="24" t="str">
        <f t="shared" si="2"/>
        <v/>
      </c>
    </row>
    <row r="114" spans="5:5" x14ac:dyDescent="0.35">
      <c r="E114" s="24" t="str">
        <f t="shared" si="2"/>
        <v/>
      </c>
    </row>
    <row r="115" spans="5:5" x14ac:dyDescent="0.35">
      <c r="E115" s="24" t="str">
        <f t="shared" si="2"/>
        <v/>
      </c>
    </row>
    <row r="116" spans="5:5" x14ac:dyDescent="0.35">
      <c r="E116" s="24" t="str">
        <f t="shared" si="2"/>
        <v/>
      </c>
    </row>
    <row r="117" spans="5:5" x14ac:dyDescent="0.35">
      <c r="E117" s="24" t="str">
        <f t="shared" si="2"/>
        <v/>
      </c>
    </row>
    <row r="118" spans="5:5" x14ac:dyDescent="0.35">
      <c r="E118" s="24" t="str">
        <f t="shared" si="2"/>
        <v/>
      </c>
    </row>
    <row r="119" spans="5:5" x14ac:dyDescent="0.35">
      <c r="E119" s="24" t="str">
        <f t="shared" si="2"/>
        <v/>
      </c>
    </row>
    <row r="120" spans="5:5" x14ac:dyDescent="0.35">
      <c r="E120" s="24" t="str">
        <f t="shared" si="2"/>
        <v/>
      </c>
    </row>
    <row r="121" spans="5:5" x14ac:dyDescent="0.35">
      <c r="E121" s="24" t="str">
        <f t="shared" si="2"/>
        <v/>
      </c>
    </row>
    <row r="122" spans="5:5" x14ac:dyDescent="0.35">
      <c r="E122" s="24" t="str">
        <f t="shared" si="2"/>
        <v/>
      </c>
    </row>
    <row r="123" spans="5:5" x14ac:dyDescent="0.35">
      <c r="E123" s="24" t="str">
        <f t="shared" si="2"/>
        <v/>
      </c>
    </row>
    <row r="124" spans="5:5" x14ac:dyDescent="0.35">
      <c r="E124" s="24" t="str">
        <f t="shared" si="2"/>
        <v/>
      </c>
    </row>
    <row r="125" spans="5:5" x14ac:dyDescent="0.35">
      <c r="E125" s="24" t="str">
        <f t="shared" si="2"/>
        <v/>
      </c>
    </row>
    <row r="126" spans="5:5" x14ac:dyDescent="0.35">
      <c r="E126" s="24" t="str">
        <f t="shared" si="2"/>
        <v/>
      </c>
    </row>
    <row r="127" spans="5:5" x14ac:dyDescent="0.35">
      <c r="E127" s="24" t="str">
        <f t="shared" si="2"/>
        <v/>
      </c>
    </row>
    <row r="128" spans="5:5" x14ac:dyDescent="0.35">
      <c r="E128" s="24" t="str">
        <f t="shared" si="2"/>
        <v/>
      </c>
    </row>
    <row r="129" spans="5:5" x14ac:dyDescent="0.35">
      <c r="E129" s="24" t="str">
        <f t="shared" si="2"/>
        <v/>
      </c>
    </row>
    <row r="130" spans="5:5" x14ac:dyDescent="0.35">
      <c r="E130" s="24" t="str">
        <f t="shared" si="2"/>
        <v/>
      </c>
    </row>
    <row r="131" spans="5:5" x14ac:dyDescent="0.35">
      <c r="E131" s="24" t="str">
        <f t="shared" si="2"/>
        <v/>
      </c>
    </row>
    <row r="132" spans="5:5" x14ac:dyDescent="0.35">
      <c r="E132" s="24" t="str">
        <f t="shared" si="2"/>
        <v/>
      </c>
    </row>
    <row r="133" spans="5:5" x14ac:dyDescent="0.35">
      <c r="E133" s="24" t="str">
        <f t="shared" si="2"/>
        <v/>
      </c>
    </row>
    <row r="134" spans="5:5" x14ac:dyDescent="0.35">
      <c r="E134" s="24" t="str">
        <f t="shared" si="2"/>
        <v/>
      </c>
    </row>
    <row r="135" spans="5:5" x14ac:dyDescent="0.35">
      <c r="E135" s="24" t="str">
        <f t="shared" si="2"/>
        <v/>
      </c>
    </row>
    <row r="136" spans="5:5" x14ac:dyDescent="0.35">
      <c r="E136" s="24" t="str">
        <f t="shared" ref="E136:E199" si="3">IF(COUNT(B136:C136)=0,"",SUM(B136:C136))</f>
        <v/>
      </c>
    </row>
    <row r="137" spans="5:5" x14ac:dyDescent="0.35">
      <c r="E137" s="24" t="str">
        <f t="shared" si="3"/>
        <v/>
      </c>
    </row>
    <row r="138" spans="5:5" x14ac:dyDescent="0.35">
      <c r="E138" s="24" t="str">
        <f t="shared" si="3"/>
        <v/>
      </c>
    </row>
    <row r="139" spans="5:5" x14ac:dyDescent="0.35">
      <c r="E139" s="24" t="str">
        <f t="shared" si="3"/>
        <v/>
      </c>
    </row>
    <row r="140" spans="5:5" x14ac:dyDescent="0.35">
      <c r="E140" s="24" t="str">
        <f t="shared" si="3"/>
        <v/>
      </c>
    </row>
    <row r="141" spans="5:5" x14ac:dyDescent="0.35">
      <c r="E141" s="24" t="str">
        <f t="shared" si="3"/>
        <v/>
      </c>
    </row>
    <row r="142" spans="5:5" x14ac:dyDescent="0.35">
      <c r="E142" s="24" t="str">
        <f t="shared" si="3"/>
        <v/>
      </c>
    </row>
    <row r="143" spans="5:5" x14ac:dyDescent="0.35">
      <c r="E143" s="24" t="str">
        <f t="shared" si="3"/>
        <v/>
      </c>
    </row>
    <row r="144" spans="5:5" x14ac:dyDescent="0.35">
      <c r="E144" s="24" t="str">
        <f t="shared" si="3"/>
        <v/>
      </c>
    </row>
    <row r="145" spans="5:5" x14ac:dyDescent="0.35">
      <c r="E145" s="24" t="str">
        <f t="shared" si="3"/>
        <v/>
      </c>
    </row>
    <row r="146" spans="5:5" x14ac:dyDescent="0.35">
      <c r="E146" s="24" t="str">
        <f t="shared" si="3"/>
        <v/>
      </c>
    </row>
    <row r="147" spans="5:5" x14ac:dyDescent="0.35">
      <c r="E147" s="24" t="str">
        <f t="shared" si="3"/>
        <v/>
      </c>
    </row>
    <row r="148" spans="5:5" x14ac:dyDescent="0.35">
      <c r="E148" s="24" t="str">
        <f t="shared" si="3"/>
        <v/>
      </c>
    </row>
    <row r="149" spans="5:5" x14ac:dyDescent="0.35">
      <c r="E149" s="24" t="str">
        <f t="shared" si="3"/>
        <v/>
      </c>
    </row>
    <row r="150" spans="5:5" x14ac:dyDescent="0.35">
      <c r="E150" s="24" t="str">
        <f t="shared" si="3"/>
        <v/>
      </c>
    </row>
    <row r="151" spans="5:5" x14ac:dyDescent="0.35">
      <c r="E151" s="24" t="str">
        <f t="shared" si="3"/>
        <v/>
      </c>
    </row>
    <row r="152" spans="5:5" x14ac:dyDescent="0.35">
      <c r="E152" s="24" t="str">
        <f t="shared" si="3"/>
        <v/>
      </c>
    </row>
    <row r="153" spans="5:5" x14ac:dyDescent="0.35">
      <c r="E153" s="24" t="str">
        <f t="shared" si="3"/>
        <v/>
      </c>
    </row>
    <row r="154" spans="5:5" x14ac:dyDescent="0.35">
      <c r="E154" s="24" t="str">
        <f t="shared" si="3"/>
        <v/>
      </c>
    </row>
    <row r="155" spans="5:5" x14ac:dyDescent="0.35">
      <c r="E155" s="24" t="str">
        <f t="shared" si="3"/>
        <v/>
      </c>
    </row>
    <row r="156" spans="5:5" x14ac:dyDescent="0.35">
      <c r="E156" s="24" t="str">
        <f t="shared" si="3"/>
        <v/>
      </c>
    </row>
    <row r="157" spans="5:5" x14ac:dyDescent="0.35">
      <c r="E157" s="24" t="str">
        <f t="shared" si="3"/>
        <v/>
      </c>
    </row>
    <row r="158" spans="5:5" x14ac:dyDescent="0.35">
      <c r="E158" s="24" t="str">
        <f t="shared" si="3"/>
        <v/>
      </c>
    </row>
    <row r="159" spans="5:5" x14ac:dyDescent="0.35">
      <c r="E159" s="24" t="str">
        <f t="shared" si="3"/>
        <v/>
      </c>
    </row>
    <row r="160" spans="5:5" x14ac:dyDescent="0.35">
      <c r="E160" s="24" t="str">
        <f t="shared" si="3"/>
        <v/>
      </c>
    </row>
    <row r="161" spans="5:5" x14ac:dyDescent="0.35">
      <c r="E161" s="24" t="str">
        <f t="shared" si="3"/>
        <v/>
      </c>
    </row>
    <row r="162" spans="5:5" x14ac:dyDescent="0.35">
      <c r="E162" s="24" t="str">
        <f t="shared" si="3"/>
        <v/>
      </c>
    </row>
    <row r="163" spans="5:5" x14ac:dyDescent="0.35">
      <c r="E163" s="24" t="str">
        <f t="shared" si="3"/>
        <v/>
      </c>
    </row>
    <row r="164" spans="5:5" x14ac:dyDescent="0.35">
      <c r="E164" s="24" t="str">
        <f t="shared" si="3"/>
        <v/>
      </c>
    </row>
    <row r="165" spans="5:5" x14ac:dyDescent="0.35">
      <c r="E165" s="24" t="str">
        <f t="shared" si="3"/>
        <v/>
      </c>
    </row>
    <row r="166" spans="5:5" x14ac:dyDescent="0.35">
      <c r="E166" s="24" t="str">
        <f t="shared" si="3"/>
        <v/>
      </c>
    </row>
    <row r="167" spans="5:5" x14ac:dyDescent="0.35">
      <c r="E167" s="24" t="str">
        <f t="shared" si="3"/>
        <v/>
      </c>
    </row>
    <row r="168" spans="5:5" x14ac:dyDescent="0.35">
      <c r="E168" s="24" t="str">
        <f t="shared" si="3"/>
        <v/>
      </c>
    </row>
    <row r="169" spans="5:5" x14ac:dyDescent="0.35">
      <c r="E169" s="24" t="str">
        <f t="shared" si="3"/>
        <v/>
      </c>
    </row>
    <row r="170" spans="5:5" x14ac:dyDescent="0.35">
      <c r="E170" s="24" t="str">
        <f t="shared" si="3"/>
        <v/>
      </c>
    </row>
    <row r="171" spans="5:5" x14ac:dyDescent="0.35">
      <c r="E171" s="24" t="str">
        <f t="shared" si="3"/>
        <v/>
      </c>
    </row>
    <row r="172" spans="5:5" x14ac:dyDescent="0.35">
      <c r="E172" s="24" t="str">
        <f t="shared" si="3"/>
        <v/>
      </c>
    </row>
    <row r="173" spans="5:5" x14ac:dyDescent="0.35">
      <c r="E173" s="24" t="str">
        <f t="shared" si="3"/>
        <v/>
      </c>
    </row>
    <row r="174" spans="5:5" x14ac:dyDescent="0.35">
      <c r="E174" s="24" t="str">
        <f t="shared" si="3"/>
        <v/>
      </c>
    </row>
    <row r="175" spans="5:5" x14ac:dyDescent="0.35">
      <c r="E175" s="24" t="str">
        <f t="shared" si="3"/>
        <v/>
      </c>
    </row>
    <row r="176" spans="5:5" x14ac:dyDescent="0.35">
      <c r="E176" s="24" t="str">
        <f t="shared" si="3"/>
        <v/>
      </c>
    </row>
    <row r="177" spans="5:5" x14ac:dyDescent="0.35">
      <c r="E177" s="24" t="str">
        <f t="shared" si="3"/>
        <v/>
      </c>
    </row>
    <row r="178" spans="5:5" x14ac:dyDescent="0.35">
      <c r="E178" s="24" t="str">
        <f t="shared" si="3"/>
        <v/>
      </c>
    </row>
    <row r="179" spans="5:5" x14ac:dyDescent="0.35">
      <c r="E179" s="24" t="str">
        <f t="shared" si="3"/>
        <v/>
      </c>
    </row>
    <row r="180" spans="5:5" x14ac:dyDescent="0.35">
      <c r="E180" s="24" t="str">
        <f t="shared" si="3"/>
        <v/>
      </c>
    </row>
    <row r="181" spans="5:5" x14ac:dyDescent="0.35">
      <c r="E181" s="24" t="str">
        <f t="shared" si="3"/>
        <v/>
      </c>
    </row>
    <row r="182" spans="5:5" x14ac:dyDescent="0.35">
      <c r="E182" s="24" t="str">
        <f t="shared" si="3"/>
        <v/>
      </c>
    </row>
    <row r="183" spans="5:5" x14ac:dyDescent="0.35">
      <c r="E183" s="24" t="str">
        <f t="shared" si="3"/>
        <v/>
      </c>
    </row>
    <row r="184" spans="5:5" x14ac:dyDescent="0.35">
      <c r="E184" s="24" t="str">
        <f t="shared" si="3"/>
        <v/>
      </c>
    </row>
    <row r="185" spans="5:5" x14ac:dyDescent="0.35">
      <c r="E185" s="24" t="str">
        <f t="shared" si="3"/>
        <v/>
      </c>
    </row>
    <row r="186" spans="5:5" x14ac:dyDescent="0.35">
      <c r="E186" s="24" t="str">
        <f t="shared" si="3"/>
        <v/>
      </c>
    </row>
    <row r="187" spans="5:5" x14ac:dyDescent="0.35">
      <c r="E187" s="24" t="str">
        <f t="shared" si="3"/>
        <v/>
      </c>
    </row>
    <row r="188" spans="5:5" x14ac:dyDescent="0.35">
      <c r="E188" s="24" t="str">
        <f t="shared" si="3"/>
        <v/>
      </c>
    </row>
    <row r="189" spans="5:5" x14ac:dyDescent="0.35">
      <c r="E189" s="24" t="str">
        <f t="shared" si="3"/>
        <v/>
      </c>
    </row>
    <row r="190" spans="5:5" x14ac:dyDescent="0.35">
      <c r="E190" s="24" t="str">
        <f t="shared" si="3"/>
        <v/>
      </c>
    </row>
    <row r="191" spans="5:5" x14ac:dyDescent="0.35">
      <c r="E191" s="24" t="str">
        <f t="shared" si="3"/>
        <v/>
      </c>
    </row>
    <row r="192" spans="5:5" x14ac:dyDescent="0.35">
      <c r="E192" s="24" t="str">
        <f t="shared" si="3"/>
        <v/>
      </c>
    </row>
    <row r="193" spans="5:5" x14ac:dyDescent="0.35">
      <c r="E193" s="24" t="str">
        <f t="shared" si="3"/>
        <v/>
      </c>
    </row>
    <row r="194" spans="5:5" x14ac:dyDescent="0.35">
      <c r="E194" s="24" t="str">
        <f t="shared" si="3"/>
        <v/>
      </c>
    </row>
    <row r="195" spans="5:5" x14ac:dyDescent="0.35">
      <c r="E195" s="24" t="str">
        <f t="shared" si="3"/>
        <v/>
      </c>
    </row>
    <row r="196" spans="5:5" x14ac:dyDescent="0.35">
      <c r="E196" s="24" t="str">
        <f t="shared" si="3"/>
        <v/>
      </c>
    </row>
    <row r="197" spans="5:5" x14ac:dyDescent="0.35">
      <c r="E197" s="24" t="str">
        <f t="shared" si="3"/>
        <v/>
      </c>
    </row>
    <row r="198" spans="5:5" x14ac:dyDescent="0.35">
      <c r="E198" s="24" t="str">
        <f t="shared" si="3"/>
        <v/>
      </c>
    </row>
    <row r="199" spans="5:5" x14ac:dyDescent="0.35">
      <c r="E199" s="24" t="str">
        <f t="shared" si="3"/>
        <v/>
      </c>
    </row>
    <row r="200" spans="5:5" x14ac:dyDescent="0.35">
      <c r="E200" s="24" t="str">
        <f t="shared" ref="E200:E263" si="4">IF(COUNT(B200:C200)=0,"",SUM(B200:C200))</f>
        <v/>
      </c>
    </row>
    <row r="201" spans="5:5" x14ac:dyDescent="0.35">
      <c r="E201" s="24" t="str">
        <f t="shared" si="4"/>
        <v/>
      </c>
    </row>
    <row r="202" spans="5:5" x14ac:dyDescent="0.35">
      <c r="E202" s="24" t="str">
        <f t="shared" si="4"/>
        <v/>
      </c>
    </row>
    <row r="203" spans="5:5" x14ac:dyDescent="0.35">
      <c r="E203" s="24" t="str">
        <f t="shared" si="4"/>
        <v/>
      </c>
    </row>
    <row r="204" spans="5:5" x14ac:dyDescent="0.35">
      <c r="E204" s="24" t="str">
        <f t="shared" si="4"/>
        <v/>
      </c>
    </row>
    <row r="205" spans="5:5" x14ac:dyDescent="0.35">
      <c r="E205" s="24" t="str">
        <f t="shared" si="4"/>
        <v/>
      </c>
    </row>
    <row r="206" spans="5:5" x14ac:dyDescent="0.35">
      <c r="E206" s="24" t="str">
        <f t="shared" si="4"/>
        <v/>
      </c>
    </row>
    <row r="207" spans="5:5" x14ac:dyDescent="0.35">
      <c r="E207" s="24" t="str">
        <f t="shared" si="4"/>
        <v/>
      </c>
    </row>
    <row r="208" spans="5:5" x14ac:dyDescent="0.35">
      <c r="E208" s="24" t="str">
        <f t="shared" si="4"/>
        <v/>
      </c>
    </row>
    <row r="209" spans="5:5" x14ac:dyDescent="0.35">
      <c r="E209" s="24" t="str">
        <f t="shared" si="4"/>
        <v/>
      </c>
    </row>
    <row r="210" spans="5:5" x14ac:dyDescent="0.35">
      <c r="E210" s="24" t="str">
        <f t="shared" si="4"/>
        <v/>
      </c>
    </row>
    <row r="211" spans="5:5" x14ac:dyDescent="0.35">
      <c r="E211" s="24" t="str">
        <f t="shared" si="4"/>
        <v/>
      </c>
    </row>
    <row r="212" spans="5:5" x14ac:dyDescent="0.35">
      <c r="E212" s="24" t="str">
        <f t="shared" si="4"/>
        <v/>
      </c>
    </row>
    <row r="213" spans="5:5" x14ac:dyDescent="0.35">
      <c r="E213" s="24" t="str">
        <f t="shared" si="4"/>
        <v/>
      </c>
    </row>
    <row r="214" spans="5:5" x14ac:dyDescent="0.35">
      <c r="E214" s="24" t="str">
        <f t="shared" si="4"/>
        <v/>
      </c>
    </row>
    <row r="215" spans="5:5" x14ac:dyDescent="0.35">
      <c r="E215" s="24" t="str">
        <f t="shared" si="4"/>
        <v/>
      </c>
    </row>
    <row r="216" spans="5:5" x14ac:dyDescent="0.35">
      <c r="E216" s="24" t="str">
        <f t="shared" si="4"/>
        <v/>
      </c>
    </row>
    <row r="217" spans="5:5" x14ac:dyDescent="0.35">
      <c r="E217" s="24" t="str">
        <f t="shared" si="4"/>
        <v/>
      </c>
    </row>
    <row r="218" spans="5:5" x14ac:dyDescent="0.35">
      <c r="E218" s="24" t="str">
        <f t="shared" si="4"/>
        <v/>
      </c>
    </row>
    <row r="219" spans="5:5" x14ac:dyDescent="0.35">
      <c r="E219" s="24" t="str">
        <f t="shared" si="4"/>
        <v/>
      </c>
    </row>
    <row r="220" spans="5:5" x14ac:dyDescent="0.35">
      <c r="E220" s="24" t="str">
        <f t="shared" si="4"/>
        <v/>
      </c>
    </row>
    <row r="221" spans="5:5" x14ac:dyDescent="0.35">
      <c r="E221" s="24" t="str">
        <f t="shared" si="4"/>
        <v/>
      </c>
    </row>
    <row r="222" spans="5:5" x14ac:dyDescent="0.35">
      <c r="E222" s="24" t="str">
        <f t="shared" si="4"/>
        <v/>
      </c>
    </row>
    <row r="223" spans="5:5" x14ac:dyDescent="0.35">
      <c r="E223" s="24" t="str">
        <f t="shared" si="4"/>
        <v/>
      </c>
    </row>
    <row r="224" spans="5:5" x14ac:dyDescent="0.35">
      <c r="E224" s="24" t="str">
        <f t="shared" si="4"/>
        <v/>
      </c>
    </row>
    <row r="225" spans="5:5" x14ac:dyDescent="0.35">
      <c r="E225" s="24" t="str">
        <f t="shared" si="4"/>
        <v/>
      </c>
    </row>
    <row r="226" spans="5:5" x14ac:dyDescent="0.35">
      <c r="E226" s="24" t="str">
        <f t="shared" si="4"/>
        <v/>
      </c>
    </row>
    <row r="227" spans="5:5" x14ac:dyDescent="0.35">
      <c r="E227" s="24" t="str">
        <f t="shared" si="4"/>
        <v/>
      </c>
    </row>
    <row r="228" spans="5:5" x14ac:dyDescent="0.35">
      <c r="E228" s="24" t="str">
        <f t="shared" si="4"/>
        <v/>
      </c>
    </row>
    <row r="229" spans="5:5" x14ac:dyDescent="0.35">
      <c r="E229" s="24" t="str">
        <f t="shared" si="4"/>
        <v/>
      </c>
    </row>
    <row r="230" spans="5:5" x14ac:dyDescent="0.35">
      <c r="E230" s="24" t="str">
        <f t="shared" si="4"/>
        <v/>
      </c>
    </row>
    <row r="231" spans="5:5" x14ac:dyDescent="0.35">
      <c r="E231" s="24" t="str">
        <f t="shared" si="4"/>
        <v/>
      </c>
    </row>
    <row r="232" spans="5:5" x14ac:dyDescent="0.35">
      <c r="E232" s="24" t="str">
        <f t="shared" si="4"/>
        <v/>
      </c>
    </row>
    <row r="233" spans="5:5" x14ac:dyDescent="0.35">
      <c r="E233" s="24" t="str">
        <f t="shared" si="4"/>
        <v/>
      </c>
    </row>
    <row r="234" spans="5:5" x14ac:dyDescent="0.35">
      <c r="E234" s="24" t="str">
        <f t="shared" si="4"/>
        <v/>
      </c>
    </row>
    <row r="235" spans="5:5" x14ac:dyDescent="0.35">
      <c r="E235" s="24" t="str">
        <f t="shared" si="4"/>
        <v/>
      </c>
    </row>
    <row r="236" spans="5:5" x14ac:dyDescent="0.35">
      <c r="E236" s="24" t="str">
        <f t="shared" si="4"/>
        <v/>
      </c>
    </row>
    <row r="237" spans="5:5" x14ac:dyDescent="0.35">
      <c r="E237" s="24" t="str">
        <f t="shared" si="4"/>
        <v/>
      </c>
    </row>
    <row r="238" spans="5:5" x14ac:dyDescent="0.35">
      <c r="E238" s="24" t="str">
        <f t="shared" si="4"/>
        <v/>
      </c>
    </row>
    <row r="239" spans="5:5" x14ac:dyDescent="0.35">
      <c r="E239" s="24" t="str">
        <f t="shared" si="4"/>
        <v/>
      </c>
    </row>
    <row r="240" spans="5:5" x14ac:dyDescent="0.35">
      <c r="E240" s="24" t="str">
        <f t="shared" si="4"/>
        <v/>
      </c>
    </row>
    <row r="241" spans="5:5" x14ac:dyDescent="0.35">
      <c r="E241" s="24" t="str">
        <f t="shared" si="4"/>
        <v/>
      </c>
    </row>
    <row r="242" spans="5:5" x14ac:dyDescent="0.35">
      <c r="E242" s="24" t="str">
        <f t="shared" si="4"/>
        <v/>
      </c>
    </row>
    <row r="243" spans="5:5" x14ac:dyDescent="0.35">
      <c r="E243" s="24" t="str">
        <f t="shared" si="4"/>
        <v/>
      </c>
    </row>
    <row r="244" spans="5:5" x14ac:dyDescent="0.35">
      <c r="E244" s="24" t="str">
        <f t="shared" si="4"/>
        <v/>
      </c>
    </row>
    <row r="245" spans="5:5" x14ac:dyDescent="0.35">
      <c r="E245" s="24" t="str">
        <f t="shared" si="4"/>
        <v/>
      </c>
    </row>
    <row r="246" spans="5:5" x14ac:dyDescent="0.35">
      <c r="E246" s="24" t="str">
        <f t="shared" si="4"/>
        <v/>
      </c>
    </row>
    <row r="247" spans="5:5" x14ac:dyDescent="0.35">
      <c r="E247" s="24" t="str">
        <f t="shared" si="4"/>
        <v/>
      </c>
    </row>
    <row r="248" spans="5:5" x14ac:dyDescent="0.35">
      <c r="E248" s="24" t="str">
        <f t="shared" si="4"/>
        <v/>
      </c>
    </row>
    <row r="249" spans="5:5" x14ac:dyDescent="0.35">
      <c r="E249" s="24" t="str">
        <f t="shared" si="4"/>
        <v/>
      </c>
    </row>
    <row r="250" spans="5:5" x14ac:dyDescent="0.35">
      <c r="E250" s="24" t="str">
        <f t="shared" si="4"/>
        <v/>
      </c>
    </row>
    <row r="251" spans="5:5" x14ac:dyDescent="0.35">
      <c r="E251" s="24" t="str">
        <f t="shared" si="4"/>
        <v/>
      </c>
    </row>
    <row r="252" spans="5:5" x14ac:dyDescent="0.35">
      <c r="E252" s="24" t="str">
        <f t="shared" si="4"/>
        <v/>
      </c>
    </row>
    <row r="253" spans="5:5" x14ac:dyDescent="0.35">
      <c r="E253" s="24" t="str">
        <f t="shared" si="4"/>
        <v/>
      </c>
    </row>
    <row r="254" spans="5:5" x14ac:dyDescent="0.35">
      <c r="E254" s="24" t="str">
        <f t="shared" si="4"/>
        <v/>
      </c>
    </row>
    <row r="255" spans="5:5" x14ac:dyDescent="0.35">
      <c r="E255" s="24" t="str">
        <f t="shared" si="4"/>
        <v/>
      </c>
    </row>
    <row r="256" spans="5:5" x14ac:dyDescent="0.35">
      <c r="E256" s="24" t="str">
        <f t="shared" si="4"/>
        <v/>
      </c>
    </row>
    <row r="257" spans="5:5" x14ac:dyDescent="0.35">
      <c r="E257" s="24" t="str">
        <f t="shared" si="4"/>
        <v/>
      </c>
    </row>
    <row r="258" spans="5:5" x14ac:dyDescent="0.35">
      <c r="E258" s="24" t="str">
        <f t="shared" si="4"/>
        <v/>
      </c>
    </row>
    <row r="259" spans="5:5" x14ac:dyDescent="0.35">
      <c r="E259" s="24" t="str">
        <f t="shared" si="4"/>
        <v/>
      </c>
    </row>
    <row r="260" spans="5:5" x14ac:dyDescent="0.35">
      <c r="E260" s="24" t="str">
        <f t="shared" si="4"/>
        <v/>
      </c>
    </row>
    <row r="261" spans="5:5" x14ac:dyDescent="0.35">
      <c r="E261" s="24" t="str">
        <f t="shared" si="4"/>
        <v/>
      </c>
    </row>
    <row r="262" spans="5:5" x14ac:dyDescent="0.35">
      <c r="E262" s="24" t="str">
        <f t="shared" si="4"/>
        <v/>
      </c>
    </row>
    <row r="263" spans="5:5" x14ac:dyDescent="0.35">
      <c r="E263" s="24" t="str">
        <f t="shared" si="4"/>
        <v/>
      </c>
    </row>
    <row r="264" spans="5:5" x14ac:dyDescent="0.35">
      <c r="E264" s="24" t="str">
        <f t="shared" ref="E264:E327" si="5">IF(COUNT(B264:C264)=0,"",SUM(B264:C264))</f>
        <v/>
      </c>
    </row>
    <row r="265" spans="5:5" x14ac:dyDescent="0.35">
      <c r="E265" s="24" t="str">
        <f t="shared" si="5"/>
        <v/>
      </c>
    </row>
    <row r="266" spans="5:5" x14ac:dyDescent="0.35">
      <c r="E266" s="24" t="str">
        <f t="shared" si="5"/>
        <v/>
      </c>
    </row>
    <row r="267" spans="5:5" x14ac:dyDescent="0.35">
      <c r="E267" s="24" t="str">
        <f t="shared" si="5"/>
        <v/>
      </c>
    </row>
    <row r="268" spans="5:5" x14ac:dyDescent="0.35">
      <c r="E268" s="24" t="str">
        <f t="shared" si="5"/>
        <v/>
      </c>
    </row>
    <row r="269" spans="5:5" x14ac:dyDescent="0.35">
      <c r="E269" s="24" t="str">
        <f t="shared" si="5"/>
        <v/>
      </c>
    </row>
    <row r="270" spans="5:5" x14ac:dyDescent="0.35">
      <c r="E270" s="24" t="str">
        <f t="shared" si="5"/>
        <v/>
      </c>
    </row>
    <row r="271" spans="5:5" x14ac:dyDescent="0.35">
      <c r="E271" s="24" t="str">
        <f t="shared" si="5"/>
        <v/>
      </c>
    </row>
    <row r="272" spans="5:5" x14ac:dyDescent="0.35">
      <c r="E272" s="24" t="str">
        <f t="shared" si="5"/>
        <v/>
      </c>
    </row>
    <row r="273" spans="5:5" x14ac:dyDescent="0.35">
      <c r="E273" s="24" t="str">
        <f t="shared" si="5"/>
        <v/>
      </c>
    </row>
    <row r="274" spans="5:5" x14ac:dyDescent="0.35">
      <c r="E274" s="24" t="str">
        <f t="shared" si="5"/>
        <v/>
      </c>
    </row>
    <row r="275" spans="5:5" x14ac:dyDescent="0.35">
      <c r="E275" s="24" t="str">
        <f t="shared" si="5"/>
        <v/>
      </c>
    </row>
    <row r="276" spans="5:5" x14ac:dyDescent="0.35">
      <c r="E276" s="24" t="str">
        <f t="shared" si="5"/>
        <v/>
      </c>
    </row>
    <row r="277" spans="5:5" x14ac:dyDescent="0.35">
      <c r="E277" s="24" t="str">
        <f t="shared" si="5"/>
        <v/>
      </c>
    </row>
    <row r="278" spans="5:5" x14ac:dyDescent="0.35">
      <c r="E278" s="24" t="str">
        <f t="shared" si="5"/>
        <v/>
      </c>
    </row>
    <row r="279" spans="5:5" x14ac:dyDescent="0.35">
      <c r="E279" s="24" t="str">
        <f t="shared" si="5"/>
        <v/>
      </c>
    </row>
    <row r="280" spans="5:5" x14ac:dyDescent="0.35">
      <c r="E280" s="24" t="str">
        <f t="shared" si="5"/>
        <v/>
      </c>
    </row>
    <row r="281" spans="5:5" x14ac:dyDescent="0.35">
      <c r="E281" s="24" t="str">
        <f t="shared" si="5"/>
        <v/>
      </c>
    </row>
    <row r="282" spans="5:5" x14ac:dyDescent="0.35">
      <c r="E282" s="24" t="str">
        <f t="shared" si="5"/>
        <v/>
      </c>
    </row>
    <row r="283" spans="5:5" x14ac:dyDescent="0.35">
      <c r="E283" s="24" t="str">
        <f t="shared" si="5"/>
        <v/>
      </c>
    </row>
    <row r="284" spans="5:5" x14ac:dyDescent="0.35">
      <c r="E284" s="24" t="str">
        <f t="shared" si="5"/>
        <v/>
      </c>
    </row>
    <row r="285" spans="5:5" x14ac:dyDescent="0.35">
      <c r="E285" s="24" t="str">
        <f t="shared" si="5"/>
        <v/>
      </c>
    </row>
    <row r="286" spans="5:5" x14ac:dyDescent="0.35">
      <c r="E286" s="24" t="str">
        <f t="shared" si="5"/>
        <v/>
      </c>
    </row>
    <row r="287" spans="5:5" x14ac:dyDescent="0.35">
      <c r="E287" s="24" t="str">
        <f t="shared" si="5"/>
        <v/>
      </c>
    </row>
    <row r="288" spans="5:5" x14ac:dyDescent="0.35">
      <c r="E288" s="24" t="str">
        <f t="shared" si="5"/>
        <v/>
      </c>
    </row>
    <row r="289" spans="5:5" x14ac:dyDescent="0.35">
      <c r="E289" s="24" t="str">
        <f t="shared" si="5"/>
        <v/>
      </c>
    </row>
    <row r="290" spans="5:5" x14ac:dyDescent="0.35">
      <c r="E290" s="24" t="str">
        <f t="shared" si="5"/>
        <v/>
      </c>
    </row>
    <row r="291" spans="5:5" x14ac:dyDescent="0.35">
      <c r="E291" s="24" t="str">
        <f t="shared" si="5"/>
        <v/>
      </c>
    </row>
    <row r="292" spans="5:5" x14ac:dyDescent="0.35">
      <c r="E292" s="24" t="str">
        <f t="shared" si="5"/>
        <v/>
      </c>
    </row>
    <row r="293" spans="5:5" x14ac:dyDescent="0.35">
      <c r="E293" s="24" t="str">
        <f t="shared" si="5"/>
        <v/>
      </c>
    </row>
    <row r="294" spans="5:5" x14ac:dyDescent="0.35">
      <c r="E294" s="24" t="str">
        <f t="shared" si="5"/>
        <v/>
      </c>
    </row>
    <row r="295" spans="5:5" x14ac:dyDescent="0.35">
      <c r="E295" s="24" t="str">
        <f t="shared" si="5"/>
        <v/>
      </c>
    </row>
    <row r="296" spans="5:5" x14ac:dyDescent="0.35">
      <c r="E296" s="24" t="str">
        <f t="shared" si="5"/>
        <v/>
      </c>
    </row>
    <row r="297" spans="5:5" x14ac:dyDescent="0.35">
      <c r="E297" s="24" t="str">
        <f t="shared" si="5"/>
        <v/>
      </c>
    </row>
    <row r="298" spans="5:5" x14ac:dyDescent="0.35">
      <c r="E298" s="24" t="str">
        <f t="shared" si="5"/>
        <v/>
      </c>
    </row>
    <row r="299" spans="5:5" x14ac:dyDescent="0.35">
      <c r="E299" s="24" t="str">
        <f t="shared" si="5"/>
        <v/>
      </c>
    </row>
    <row r="300" spans="5:5" x14ac:dyDescent="0.35">
      <c r="E300" s="24" t="str">
        <f t="shared" si="5"/>
        <v/>
      </c>
    </row>
    <row r="301" spans="5:5" x14ac:dyDescent="0.35">
      <c r="E301" s="24" t="str">
        <f t="shared" si="5"/>
        <v/>
      </c>
    </row>
    <row r="302" spans="5:5" x14ac:dyDescent="0.35">
      <c r="E302" s="24" t="str">
        <f t="shared" si="5"/>
        <v/>
      </c>
    </row>
    <row r="303" spans="5:5" x14ac:dyDescent="0.35">
      <c r="E303" s="24" t="str">
        <f t="shared" si="5"/>
        <v/>
      </c>
    </row>
    <row r="304" spans="5:5" x14ac:dyDescent="0.35">
      <c r="E304" s="24" t="str">
        <f t="shared" si="5"/>
        <v/>
      </c>
    </row>
    <row r="305" spans="5:5" x14ac:dyDescent="0.35">
      <c r="E305" s="24" t="str">
        <f t="shared" si="5"/>
        <v/>
      </c>
    </row>
    <row r="306" spans="5:5" x14ac:dyDescent="0.35">
      <c r="E306" s="24" t="str">
        <f t="shared" si="5"/>
        <v/>
      </c>
    </row>
    <row r="307" spans="5:5" x14ac:dyDescent="0.35">
      <c r="E307" s="24" t="str">
        <f t="shared" si="5"/>
        <v/>
      </c>
    </row>
    <row r="308" spans="5:5" x14ac:dyDescent="0.35">
      <c r="E308" s="24" t="str">
        <f t="shared" si="5"/>
        <v/>
      </c>
    </row>
    <row r="309" spans="5:5" x14ac:dyDescent="0.35">
      <c r="E309" s="24" t="str">
        <f t="shared" si="5"/>
        <v/>
      </c>
    </row>
    <row r="310" spans="5:5" x14ac:dyDescent="0.35">
      <c r="E310" s="24" t="str">
        <f t="shared" si="5"/>
        <v/>
      </c>
    </row>
    <row r="311" spans="5:5" x14ac:dyDescent="0.35">
      <c r="E311" s="24" t="str">
        <f t="shared" si="5"/>
        <v/>
      </c>
    </row>
    <row r="312" spans="5:5" x14ac:dyDescent="0.35">
      <c r="E312" s="24" t="str">
        <f t="shared" si="5"/>
        <v/>
      </c>
    </row>
    <row r="313" spans="5:5" x14ac:dyDescent="0.35">
      <c r="E313" s="24" t="str">
        <f t="shared" si="5"/>
        <v/>
      </c>
    </row>
    <row r="314" spans="5:5" x14ac:dyDescent="0.35">
      <c r="E314" s="24" t="str">
        <f t="shared" si="5"/>
        <v/>
      </c>
    </row>
    <row r="315" spans="5:5" x14ac:dyDescent="0.35">
      <c r="E315" s="24" t="str">
        <f t="shared" si="5"/>
        <v/>
      </c>
    </row>
    <row r="316" spans="5:5" x14ac:dyDescent="0.35">
      <c r="E316" s="24" t="str">
        <f t="shared" si="5"/>
        <v/>
      </c>
    </row>
    <row r="317" spans="5:5" x14ac:dyDescent="0.35">
      <c r="E317" s="24" t="str">
        <f t="shared" si="5"/>
        <v/>
      </c>
    </row>
    <row r="318" spans="5:5" x14ac:dyDescent="0.35">
      <c r="E318" s="24" t="str">
        <f t="shared" si="5"/>
        <v/>
      </c>
    </row>
    <row r="319" spans="5:5" x14ac:dyDescent="0.35">
      <c r="E319" s="24" t="str">
        <f t="shared" si="5"/>
        <v/>
      </c>
    </row>
    <row r="320" spans="5:5" x14ac:dyDescent="0.35">
      <c r="E320" s="24" t="str">
        <f t="shared" si="5"/>
        <v/>
      </c>
    </row>
    <row r="321" spans="5:5" x14ac:dyDescent="0.35">
      <c r="E321" s="24" t="str">
        <f t="shared" si="5"/>
        <v/>
      </c>
    </row>
    <row r="322" spans="5:5" x14ac:dyDescent="0.35">
      <c r="E322" s="24" t="str">
        <f t="shared" si="5"/>
        <v/>
      </c>
    </row>
    <row r="323" spans="5:5" x14ac:dyDescent="0.35">
      <c r="E323" s="24" t="str">
        <f t="shared" si="5"/>
        <v/>
      </c>
    </row>
    <row r="324" spans="5:5" x14ac:dyDescent="0.35">
      <c r="E324" s="24" t="str">
        <f t="shared" si="5"/>
        <v/>
      </c>
    </row>
    <row r="325" spans="5:5" x14ac:dyDescent="0.35">
      <c r="E325" s="24" t="str">
        <f t="shared" si="5"/>
        <v/>
      </c>
    </row>
    <row r="326" spans="5:5" x14ac:dyDescent="0.35">
      <c r="E326" s="24" t="str">
        <f t="shared" si="5"/>
        <v/>
      </c>
    </row>
    <row r="327" spans="5:5" x14ac:dyDescent="0.35">
      <c r="E327" s="24" t="str">
        <f t="shared" si="5"/>
        <v/>
      </c>
    </row>
    <row r="328" spans="5:5" x14ac:dyDescent="0.35">
      <c r="E328" s="24" t="str">
        <f t="shared" ref="E328:E391" si="6">IF(COUNT(B328:C328)=0,"",SUM(B328:C328))</f>
        <v/>
      </c>
    </row>
    <row r="329" spans="5:5" x14ac:dyDescent="0.35">
      <c r="E329" s="24" t="str">
        <f t="shared" si="6"/>
        <v/>
      </c>
    </row>
    <row r="330" spans="5:5" x14ac:dyDescent="0.35">
      <c r="E330" s="24" t="str">
        <f t="shared" si="6"/>
        <v/>
      </c>
    </row>
    <row r="331" spans="5:5" x14ac:dyDescent="0.35">
      <c r="E331" s="24" t="str">
        <f t="shared" si="6"/>
        <v/>
      </c>
    </row>
    <row r="332" spans="5:5" x14ac:dyDescent="0.35">
      <c r="E332" s="24" t="str">
        <f t="shared" si="6"/>
        <v/>
      </c>
    </row>
    <row r="333" spans="5:5" x14ac:dyDescent="0.35">
      <c r="E333" s="24" t="str">
        <f t="shared" si="6"/>
        <v/>
      </c>
    </row>
    <row r="334" spans="5:5" x14ac:dyDescent="0.35">
      <c r="E334" s="24" t="str">
        <f t="shared" si="6"/>
        <v/>
      </c>
    </row>
    <row r="335" spans="5:5" x14ac:dyDescent="0.35">
      <c r="E335" s="24" t="str">
        <f t="shared" si="6"/>
        <v/>
      </c>
    </row>
    <row r="336" spans="5:5" x14ac:dyDescent="0.35">
      <c r="E336" s="24" t="str">
        <f t="shared" si="6"/>
        <v/>
      </c>
    </row>
    <row r="337" spans="5:5" x14ac:dyDescent="0.35">
      <c r="E337" s="24" t="str">
        <f t="shared" si="6"/>
        <v/>
      </c>
    </row>
    <row r="338" spans="5:5" x14ac:dyDescent="0.35">
      <c r="E338" s="24" t="str">
        <f t="shared" si="6"/>
        <v/>
      </c>
    </row>
    <row r="339" spans="5:5" x14ac:dyDescent="0.35">
      <c r="E339" s="24" t="str">
        <f t="shared" si="6"/>
        <v/>
      </c>
    </row>
    <row r="340" spans="5:5" x14ac:dyDescent="0.35">
      <c r="E340" s="24" t="str">
        <f t="shared" si="6"/>
        <v/>
      </c>
    </row>
    <row r="341" spans="5:5" x14ac:dyDescent="0.35">
      <c r="E341" s="24" t="str">
        <f t="shared" si="6"/>
        <v/>
      </c>
    </row>
    <row r="342" spans="5:5" x14ac:dyDescent="0.35">
      <c r="E342" s="24" t="str">
        <f t="shared" si="6"/>
        <v/>
      </c>
    </row>
    <row r="343" spans="5:5" x14ac:dyDescent="0.35">
      <c r="E343" s="24" t="str">
        <f t="shared" si="6"/>
        <v/>
      </c>
    </row>
    <row r="344" spans="5:5" x14ac:dyDescent="0.35">
      <c r="E344" s="24" t="str">
        <f t="shared" si="6"/>
        <v/>
      </c>
    </row>
    <row r="345" spans="5:5" x14ac:dyDescent="0.35">
      <c r="E345" s="24" t="str">
        <f t="shared" si="6"/>
        <v/>
      </c>
    </row>
    <row r="346" spans="5:5" x14ac:dyDescent="0.35">
      <c r="E346" s="24" t="str">
        <f t="shared" si="6"/>
        <v/>
      </c>
    </row>
    <row r="347" spans="5:5" x14ac:dyDescent="0.35">
      <c r="E347" s="24" t="str">
        <f t="shared" si="6"/>
        <v/>
      </c>
    </row>
    <row r="348" spans="5:5" x14ac:dyDescent="0.35">
      <c r="E348" s="24" t="str">
        <f t="shared" si="6"/>
        <v/>
      </c>
    </row>
    <row r="349" spans="5:5" x14ac:dyDescent="0.35">
      <c r="E349" s="24" t="str">
        <f t="shared" si="6"/>
        <v/>
      </c>
    </row>
    <row r="350" spans="5:5" x14ac:dyDescent="0.35">
      <c r="E350" s="24" t="str">
        <f t="shared" si="6"/>
        <v/>
      </c>
    </row>
    <row r="351" spans="5:5" x14ac:dyDescent="0.35">
      <c r="E351" s="24" t="str">
        <f t="shared" si="6"/>
        <v/>
      </c>
    </row>
    <row r="352" spans="5:5" x14ac:dyDescent="0.35">
      <c r="E352" s="24" t="str">
        <f t="shared" si="6"/>
        <v/>
      </c>
    </row>
    <row r="353" spans="5:5" x14ac:dyDescent="0.35">
      <c r="E353" s="24" t="str">
        <f t="shared" si="6"/>
        <v/>
      </c>
    </row>
    <row r="354" spans="5:5" x14ac:dyDescent="0.35">
      <c r="E354" s="24" t="str">
        <f t="shared" si="6"/>
        <v/>
      </c>
    </row>
    <row r="355" spans="5:5" x14ac:dyDescent="0.35">
      <c r="E355" s="24" t="str">
        <f t="shared" si="6"/>
        <v/>
      </c>
    </row>
    <row r="356" spans="5:5" x14ac:dyDescent="0.35">
      <c r="E356" s="24" t="str">
        <f t="shared" si="6"/>
        <v/>
      </c>
    </row>
    <row r="357" spans="5:5" x14ac:dyDescent="0.35">
      <c r="E357" s="24" t="str">
        <f t="shared" si="6"/>
        <v/>
      </c>
    </row>
    <row r="358" spans="5:5" x14ac:dyDescent="0.35">
      <c r="E358" s="24" t="str">
        <f t="shared" si="6"/>
        <v/>
      </c>
    </row>
    <row r="359" spans="5:5" x14ac:dyDescent="0.35">
      <c r="E359" s="24" t="str">
        <f t="shared" si="6"/>
        <v/>
      </c>
    </row>
    <row r="360" spans="5:5" x14ac:dyDescent="0.35">
      <c r="E360" s="24" t="str">
        <f t="shared" si="6"/>
        <v/>
      </c>
    </row>
    <row r="361" spans="5:5" x14ac:dyDescent="0.35">
      <c r="E361" s="24" t="str">
        <f t="shared" si="6"/>
        <v/>
      </c>
    </row>
    <row r="362" spans="5:5" x14ac:dyDescent="0.35">
      <c r="E362" s="24" t="str">
        <f t="shared" si="6"/>
        <v/>
      </c>
    </row>
    <row r="363" spans="5:5" x14ac:dyDescent="0.35">
      <c r="E363" s="24" t="str">
        <f t="shared" si="6"/>
        <v/>
      </c>
    </row>
    <row r="364" spans="5:5" x14ac:dyDescent="0.35">
      <c r="E364" s="24" t="str">
        <f t="shared" si="6"/>
        <v/>
      </c>
    </row>
    <row r="365" spans="5:5" x14ac:dyDescent="0.35">
      <c r="E365" s="24" t="str">
        <f t="shared" si="6"/>
        <v/>
      </c>
    </row>
    <row r="366" spans="5:5" x14ac:dyDescent="0.35">
      <c r="E366" s="24" t="str">
        <f t="shared" si="6"/>
        <v/>
      </c>
    </row>
    <row r="367" spans="5:5" x14ac:dyDescent="0.35">
      <c r="E367" s="24" t="str">
        <f t="shared" si="6"/>
        <v/>
      </c>
    </row>
    <row r="368" spans="5:5" x14ac:dyDescent="0.35">
      <c r="E368" s="24" t="str">
        <f t="shared" si="6"/>
        <v/>
      </c>
    </row>
    <row r="369" spans="5:5" x14ac:dyDescent="0.35">
      <c r="E369" s="24" t="str">
        <f t="shared" si="6"/>
        <v/>
      </c>
    </row>
    <row r="370" spans="5:5" x14ac:dyDescent="0.35">
      <c r="E370" s="24" t="str">
        <f t="shared" si="6"/>
        <v/>
      </c>
    </row>
    <row r="371" spans="5:5" x14ac:dyDescent="0.35">
      <c r="E371" s="24" t="str">
        <f t="shared" si="6"/>
        <v/>
      </c>
    </row>
    <row r="372" spans="5:5" x14ac:dyDescent="0.35">
      <c r="E372" s="24" t="str">
        <f t="shared" si="6"/>
        <v/>
      </c>
    </row>
    <row r="373" spans="5:5" x14ac:dyDescent="0.35">
      <c r="E373" s="24" t="str">
        <f t="shared" si="6"/>
        <v/>
      </c>
    </row>
    <row r="374" spans="5:5" x14ac:dyDescent="0.35">
      <c r="E374" s="24" t="str">
        <f t="shared" si="6"/>
        <v/>
      </c>
    </row>
    <row r="375" spans="5:5" x14ac:dyDescent="0.35">
      <c r="E375" s="24" t="str">
        <f t="shared" si="6"/>
        <v/>
      </c>
    </row>
    <row r="376" spans="5:5" x14ac:dyDescent="0.35">
      <c r="E376" s="24" t="str">
        <f t="shared" si="6"/>
        <v/>
      </c>
    </row>
    <row r="377" spans="5:5" x14ac:dyDescent="0.35">
      <c r="E377" s="24" t="str">
        <f t="shared" si="6"/>
        <v/>
      </c>
    </row>
    <row r="378" spans="5:5" x14ac:dyDescent="0.35">
      <c r="E378" s="24" t="str">
        <f t="shared" si="6"/>
        <v/>
      </c>
    </row>
    <row r="379" spans="5:5" x14ac:dyDescent="0.35">
      <c r="E379" s="24" t="str">
        <f t="shared" si="6"/>
        <v/>
      </c>
    </row>
    <row r="380" spans="5:5" x14ac:dyDescent="0.35">
      <c r="E380" s="24" t="str">
        <f t="shared" si="6"/>
        <v/>
      </c>
    </row>
    <row r="381" spans="5:5" x14ac:dyDescent="0.35">
      <c r="E381" s="24" t="str">
        <f t="shared" si="6"/>
        <v/>
      </c>
    </row>
    <row r="382" spans="5:5" x14ac:dyDescent="0.35">
      <c r="E382" s="24" t="str">
        <f t="shared" si="6"/>
        <v/>
      </c>
    </row>
    <row r="383" spans="5:5" x14ac:dyDescent="0.35">
      <c r="E383" s="24" t="str">
        <f t="shared" si="6"/>
        <v/>
      </c>
    </row>
    <row r="384" spans="5:5" x14ac:dyDescent="0.35">
      <c r="E384" s="24" t="str">
        <f t="shared" si="6"/>
        <v/>
      </c>
    </row>
    <row r="385" spans="5:5" x14ac:dyDescent="0.35">
      <c r="E385" s="24" t="str">
        <f t="shared" si="6"/>
        <v/>
      </c>
    </row>
    <row r="386" spans="5:5" x14ac:dyDescent="0.35">
      <c r="E386" s="24" t="str">
        <f t="shared" si="6"/>
        <v/>
      </c>
    </row>
    <row r="387" spans="5:5" x14ac:dyDescent="0.35">
      <c r="E387" s="24" t="str">
        <f t="shared" si="6"/>
        <v/>
      </c>
    </row>
    <row r="388" spans="5:5" x14ac:dyDescent="0.35">
      <c r="E388" s="24" t="str">
        <f t="shared" si="6"/>
        <v/>
      </c>
    </row>
    <row r="389" spans="5:5" x14ac:dyDescent="0.35">
      <c r="E389" s="24" t="str">
        <f t="shared" si="6"/>
        <v/>
      </c>
    </row>
    <row r="390" spans="5:5" x14ac:dyDescent="0.35">
      <c r="E390" s="24" t="str">
        <f t="shared" si="6"/>
        <v/>
      </c>
    </row>
    <row r="391" spans="5:5" x14ac:dyDescent="0.35">
      <c r="E391" s="24" t="str">
        <f t="shared" si="6"/>
        <v/>
      </c>
    </row>
    <row r="392" spans="5:5" x14ac:dyDescent="0.35">
      <c r="E392" s="24" t="str">
        <f t="shared" ref="E392:E455" si="7">IF(COUNT(B392:C392)=0,"",SUM(B392:C392))</f>
        <v/>
      </c>
    </row>
    <row r="393" spans="5:5" x14ac:dyDescent="0.35">
      <c r="E393" s="24" t="str">
        <f t="shared" si="7"/>
        <v/>
      </c>
    </row>
    <row r="394" spans="5:5" x14ac:dyDescent="0.35">
      <c r="E394" s="24" t="str">
        <f t="shared" si="7"/>
        <v/>
      </c>
    </row>
    <row r="395" spans="5:5" x14ac:dyDescent="0.35">
      <c r="E395" s="24" t="str">
        <f t="shared" si="7"/>
        <v/>
      </c>
    </row>
    <row r="396" spans="5:5" x14ac:dyDescent="0.35">
      <c r="E396" s="24" t="str">
        <f t="shared" si="7"/>
        <v/>
      </c>
    </row>
    <row r="397" spans="5:5" x14ac:dyDescent="0.35">
      <c r="E397" s="24" t="str">
        <f t="shared" si="7"/>
        <v/>
      </c>
    </row>
    <row r="398" spans="5:5" x14ac:dyDescent="0.35">
      <c r="E398" s="24" t="str">
        <f t="shared" si="7"/>
        <v/>
      </c>
    </row>
    <row r="399" spans="5:5" x14ac:dyDescent="0.35">
      <c r="E399" s="24" t="str">
        <f t="shared" si="7"/>
        <v/>
      </c>
    </row>
    <row r="400" spans="5:5" x14ac:dyDescent="0.35">
      <c r="E400" s="24" t="str">
        <f t="shared" si="7"/>
        <v/>
      </c>
    </row>
    <row r="401" spans="5:5" x14ac:dyDescent="0.35">
      <c r="E401" s="24" t="str">
        <f t="shared" si="7"/>
        <v/>
      </c>
    </row>
    <row r="402" spans="5:5" x14ac:dyDescent="0.35">
      <c r="E402" s="24" t="str">
        <f t="shared" si="7"/>
        <v/>
      </c>
    </row>
    <row r="403" spans="5:5" x14ac:dyDescent="0.35">
      <c r="E403" s="24" t="str">
        <f t="shared" si="7"/>
        <v/>
      </c>
    </row>
    <row r="404" spans="5:5" x14ac:dyDescent="0.35">
      <c r="E404" s="24" t="str">
        <f t="shared" si="7"/>
        <v/>
      </c>
    </row>
    <row r="405" spans="5:5" x14ac:dyDescent="0.35">
      <c r="E405" s="24" t="str">
        <f t="shared" si="7"/>
        <v/>
      </c>
    </row>
    <row r="406" spans="5:5" x14ac:dyDescent="0.35">
      <c r="E406" s="24" t="str">
        <f t="shared" si="7"/>
        <v/>
      </c>
    </row>
    <row r="407" spans="5:5" x14ac:dyDescent="0.35">
      <c r="E407" s="24" t="str">
        <f t="shared" si="7"/>
        <v/>
      </c>
    </row>
    <row r="408" spans="5:5" x14ac:dyDescent="0.35">
      <c r="E408" s="24" t="str">
        <f t="shared" si="7"/>
        <v/>
      </c>
    </row>
    <row r="409" spans="5:5" x14ac:dyDescent="0.35">
      <c r="E409" s="24" t="str">
        <f t="shared" si="7"/>
        <v/>
      </c>
    </row>
    <row r="410" spans="5:5" x14ac:dyDescent="0.35">
      <c r="E410" s="24" t="str">
        <f t="shared" si="7"/>
        <v/>
      </c>
    </row>
    <row r="411" spans="5:5" x14ac:dyDescent="0.35">
      <c r="E411" s="24" t="str">
        <f t="shared" si="7"/>
        <v/>
      </c>
    </row>
    <row r="412" spans="5:5" x14ac:dyDescent="0.35">
      <c r="E412" s="24" t="str">
        <f t="shared" si="7"/>
        <v/>
      </c>
    </row>
    <row r="413" spans="5:5" x14ac:dyDescent="0.35">
      <c r="E413" s="24" t="str">
        <f t="shared" si="7"/>
        <v/>
      </c>
    </row>
    <row r="414" spans="5:5" x14ac:dyDescent="0.35">
      <c r="E414" s="24" t="str">
        <f t="shared" si="7"/>
        <v/>
      </c>
    </row>
    <row r="415" spans="5:5" x14ac:dyDescent="0.35">
      <c r="E415" s="24" t="str">
        <f t="shared" si="7"/>
        <v/>
      </c>
    </row>
    <row r="416" spans="5:5" x14ac:dyDescent="0.35">
      <c r="E416" s="24" t="str">
        <f t="shared" si="7"/>
        <v/>
      </c>
    </row>
    <row r="417" spans="5:5" x14ac:dyDescent="0.35">
      <c r="E417" s="24" t="str">
        <f t="shared" si="7"/>
        <v/>
      </c>
    </row>
    <row r="418" spans="5:5" x14ac:dyDescent="0.35">
      <c r="E418" s="24" t="str">
        <f t="shared" si="7"/>
        <v/>
      </c>
    </row>
    <row r="419" spans="5:5" x14ac:dyDescent="0.35">
      <c r="E419" s="24" t="str">
        <f t="shared" si="7"/>
        <v/>
      </c>
    </row>
    <row r="420" spans="5:5" x14ac:dyDescent="0.35">
      <c r="E420" s="24" t="str">
        <f t="shared" si="7"/>
        <v/>
      </c>
    </row>
    <row r="421" spans="5:5" x14ac:dyDescent="0.35">
      <c r="E421" s="24" t="str">
        <f t="shared" si="7"/>
        <v/>
      </c>
    </row>
    <row r="422" spans="5:5" x14ac:dyDescent="0.35">
      <c r="E422" s="24" t="str">
        <f t="shared" si="7"/>
        <v/>
      </c>
    </row>
    <row r="423" spans="5:5" x14ac:dyDescent="0.35">
      <c r="E423" s="24" t="str">
        <f t="shared" si="7"/>
        <v/>
      </c>
    </row>
    <row r="424" spans="5:5" x14ac:dyDescent="0.35">
      <c r="E424" s="24" t="str">
        <f t="shared" si="7"/>
        <v/>
      </c>
    </row>
    <row r="425" spans="5:5" x14ac:dyDescent="0.35">
      <c r="E425" s="24" t="str">
        <f t="shared" si="7"/>
        <v/>
      </c>
    </row>
    <row r="426" spans="5:5" x14ac:dyDescent="0.35">
      <c r="E426" s="24" t="str">
        <f t="shared" si="7"/>
        <v/>
      </c>
    </row>
    <row r="427" spans="5:5" x14ac:dyDescent="0.35">
      <c r="E427" s="24" t="str">
        <f t="shared" si="7"/>
        <v/>
      </c>
    </row>
    <row r="428" spans="5:5" x14ac:dyDescent="0.35">
      <c r="E428" s="24" t="str">
        <f t="shared" si="7"/>
        <v/>
      </c>
    </row>
    <row r="429" spans="5:5" x14ac:dyDescent="0.35">
      <c r="E429" s="24" t="str">
        <f t="shared" si="7"/>
        <v/>
      </c>
    </row>
    <row r="430" spans="5:5" x14ac:dyDescent="0.35">
      <c r="E430" s="24" t="str">
        <f t="shared" si="7"/>
        <v/>
      </c>
    </row>
    <row r="431" spans="5:5" x14ac:dyDescent="0.35">
      <c r="E431" s="24" t="str">
        <f t="shared" si="7"/>
        <v/>
      </c>
    </row>
    <row r="432" spans="5:5" x14ac:dyDescent="0.35">
      <c r="E432" s="24" t="str">
        <f t="shared" si="7"/>
        <v/>
      </c>
    </row>
    <row r="433" spans="5:5" x14ac:dyDescent="0.35">
      <c r="E433" s="24" t="str">
        <f t="shared" si="7"/>
        <v/>
      </c>
    </row>
    <row r="434" spans="5:5" x14ac:dyDescent="0.35">
      <c r="E434" s="24" t="str">
        <f t="shared" si="7"/>
        <v/>
      </c>
    </row>
    <row r="435" spans="5:5" x14ac:dyDescent="0.35">
      <c r="E435" s="24" t="str">
        <f t="shared" si="7"/>
        <v/>
      </c>
    </row>
    <row r="436" spans="5:5" x14ac:dyDescent="0.35">
      <c r="E436" s="24" t="str">
        <f t="shared" si="7"/>
        <v/>
      </c>
    </row>
    <row r="437" spans="5:5" x14ac:dyDescent="0.35">
      <c r="E437" s="24" t="str">
        <f t="shared" si="7"/>
        <v/>
      </c>
    </row>
    <row r="438" spans="5:5" x14ac:dyDescent="0.35">
      <c r="E438" s="24" t="str">
        <f t="shared" si="7"/>
        <v/>
      </c>
    </row>
    <row r="439" spans="5:5" x14ac:dyDescent="0.35">
      <c r="E439" s="24" t="str">
        <f t="shared" si="7"/>
        <v/>
      </c>
    </row>
    <row r="440" spans="5:5" x14ac:dyDescent="0.35">
      <c r="E440" s="24" t="str">
        <f t="shared" si="7"/>
        <v/>
      </c>
    </row>
    <row r="441" spans="5:5" x14ac:dyDescent="0.35">
      <c r="E441" s="24" t="str">
        <f t="shared" si="7"/>
        <v/>
      </c>
    </row>
    <row r="442" spans="5:5" x14ac:dyDescent="0.35">
      <c r="E442" s="24" t="str">
        <f t="shared" si="7"/>
        <v/>
      </c>
    </row>
    <row r="443" spans="5:5" x14ac:dyDescent="0.35">
      <c r="E443" s="24" t="str">
        <f t="shared" si="7"/>
        <v/>
      </c>
    </row>
    <row r="444" spans="5:5" x14ac:dyDescent="0.35">
      <c r="E444" s="24" t="str">
        <f t="shared" si="7"/>
        <v/>
      </c>
    </row>
    <row r="445" spans="5:5" x14ac:dyDescent="0.35">
      <c r="E445" s="24" t="str">
        <f t="shared" si="7"/>
        <v/>
      </c>
    </row>
    <row r="446" spans="5:5" x14ac:dyDescent="0.35">
      <c r="E446" s="24" t="str">
        <f t="shared" si="7"/>
        <v/>
      </c>
    </row>
    <row r="447" spans="5:5" x14ac:dyDescent="0.35">
      <c r="E447" s="24" t="str">
        <f t="shared" si="7"/>
        <v/>
      </c>
    </row>
    <row r="448" spans="5:5" x14ac:dyDescent="0.35">
      <c r="E448" s="24" t="str">
        <f t="shared" si="7"/>
        <v/>
      </c>
    </row>
    <row r="449" spans="5:5" x14ac:dyDescent="0.35">
      <c r="E449" s="24" t="str">
        <f t="shared" si="7"/>
        <v/>
      </c>
    </row>
    <row r="450" spans="5:5" x14ac:dyDescent="0.35">
      <c r="E450" s="24" t="str">
        <f t="shared" si="7"/>
        <v/>
      </c>
    </row>
    <row r="451" spans="5:5" x14ac:dyDescent="0.35">
      <c r="E451" s="24" t="str">
        <f t="shared" si="7"/>
        <v/>
      </c>
    </row>
    <row r="452" spans="5:5" x14ac:dyDescent="0.35">
      <c r="E452" s="24" t="str">
        <f t="shared" si="7"/>
        <v/>
      </c>
    </row>
    <row r="453" spans="5:5" x14ac:dyDescent="0.35">
      <c r="E453" s="24" t="str">
        <f t="shared" si="7"/>
        <v/>
      </c>
    </row>
    <row r="454" spans="5:5" x14ac:dyDescent="0.35">
      <c r="E454" s="24" t="str">
        <f t="shared" si="7"/>
        <v/>
      </c>
    </row>
    <row r="455" spans="5:5" x14ac:dyDescent="0.35">
      <c r="E455" s="24" t="str">
        <f t="shared" si="7"/>
        <v/>
      </c>
    </row>
    <row r="456" spans="5:5" x14ac:dyDescent="0.35">
      <c r="E456" s="24" t="str">
        <f t="shared" ref="E456:E501" si="8">IF(COUNT(B456:C456)=0,"",SUM(B456:C456))</f>
        <v/>
      </c>
    </row>
    <row r="457" spans="5:5" x14ac:dyDescent="0.35">
      <c r="E457" s="24" t="str">
        <f t="shared" si="8"/>
        <v/>
      </c>
    </row>
    <row r="458" spans="5:5" x14ac:dyDescent="0.35">
      <c r="E458" s="24" t="str">
        <f t="shared" si="8"/>
        <v/>
      </c>
    </row>
    <row r="459" spans="5:5" x14ac:dyDescent="0.35">
      <c r="E459" s="24" t="str">
        <f t="shared" si="8"/>
        <v/>
      </c>
    </row>
    <row r="460" spans="5:5" x14ac:dyDescent="0.35">
      <c r="E460" s="24" t="str">
        <f t="shared" si="8"/>
        <v/>
      </c>
    </row>
    <row r="461" spans="5:5" x14ac:dyDescent="0.35">
      <c r="E461" s="24" t="str">
        <f t="shared" si="8"/>
        <v/>
      </c>
    </row>
    <row r="462" spans="5:5" x14ac:dyDescent="0.35">
      <c r="E462" s="24" t="str">
        <f t="shared" si="8"/>
        <v/>
      </c>
    </row>
    <row r="463" spans="5:5" x14ac:dyDescent="0.35">
      <c r="E463" s="24" t="str">
        <f t="shared" si="8"/>
        <v/>
      </c>
    </row>
    <row r="464" spans="5:5" x14ac:dyDescent="0.35">
      <c r="E464" s="24" t="str">
        <f t="shared" si="8"/>
        <v/>
      </c>
    </row>
    <row r="465" spans="5:5" x14ac:dyDescent="0.35">
      <c r="E465" s="24" t="str">
        <f t="shared" si="8"/>
        <v/>
      </c>
    </row>
    <row r="466" spans="5:5" x14ac:dyDescent="0.35">
      <c r="E466" s="24" t="str">
        <f t="shared" si="8"/>
        <v/>
      </c>
    </row>
    <row r="467" spans="5:5" x14ac:dyDescent="0.35">
      <c r="E467" s="24" t="str">
        <f t="shared" si="8"/>
        <v/>
      </c>
    </row>
    <row r="468" spans="5:5" x14ac:dyDescent="0.35">
      <c r="E468" s="24" t="str">
        <f t="shared" si="8"/>
        <v/>
      </c>
    </row>
    <row r="469" spans="5:5" x14ac:dyDescent="0.35">
      <c r="E469" s="24" t="str">
        <f t="shared" si="8"/>
        <v/>
      </c>
    </row>
    <row r="470" spans="5:5" x14ac:dyDescent="0.35">
      <c r="E470" s="24" t="str">
        <f t="shared" si="8"/>
        <v/>
      </c>
    </row>
    <row r="471" spans="5:5" x14ac:dyDescent="0.35">
      <c r="E471" s="24" t="str">
        <f t="shared" si="8"/>
        <v/>
      </c>
    </row>
    <row r="472" spans="5:5" x14ac:dyDescent="0.35">
      <c r="E472" s="24" t="str">
        <f t="shared" si="8"/>
        <v/>
      </c>
    </row>
    <row r="473" spans="5:5" x14ac:dyDescent="0.35">
      <c r="E473" s="24" t="str">
        <f t="shared" si="8"/>
        <v/>
      </c>
    </row>
    <row r="474" spans="5:5" x14ac:dyDescent="0.35">
      <c r="E474" s="24" t="str">
        <f t="shared" si="8"/>
        <v/>
      </c>
    </row>
    <row r="475" spans="5:5" x14ac:dyDescent="0.35">
      <c r="E475" s="24" t="str">
        <f t="shared" si="8"/>
        <v/>
      </c>
    </row>
    <row r="476" spans="5:5" x14ac:dyDescent="0.35">
      <c r="E476" s="24" t="str">
        <f t="shared" si="8"/>
        <v/>
      </c>
    </row>
    <row r="477" spans="5:5" x14ac:dyDescent="0.35">
      <c r="E477" s="24" t="str">
        <f t="shared" si="8"/>
        <v/>
      </c>
    </row>
    <row r="478" spans="5:5" x14ac:dyDescent="0.35">
      <c r="E478" s="24" t="str">
        <f t="shared" si="8"/>
        <v/>
      </c>
    </row>
    <row r="479" spans="5:5" x14ac:dyDescent="0.35">
      <c r="E479" s="24" t="str">
        <f t="shared" si="8"/>
        <v/>
      </c>
    </row>
    <row r="480" spans="5:5" x14ac:dyDescent="0.35">
      <c r="E480" s="24" t="str">
        <f t="shared" si="8"/>
        <v/>
      </c>
    </row>
    <row r="481" spans="5:5" x14ac:dyDescent="0.35">
      <c r="E481" s="24" t="str">
        <f t="shared" si="8"/>
        <v/>
      </c>
    </row>
    <row r="482" spans="5:5" x14ac:dyDescent="0.35">
      <c r="E482" s="24" t="str">
        <f t="shared" si="8"/>
        <v/>
      </c>
    </row>
    <row r="483" spans="5:5" x14ac:dyDescent="0.35">
      <c r="E483" s="24" t="str">
        <f t="shared" si="8"/>
        <v/>
      </c>
    </row>
    <row r="484" spans="5:5" x14ac:dyDescent="0.35">
      <c r="E484" s="24" t="str">
        <f t="shared" si="8"/>
        <v/>
      </c>
    </row>
    <row r="485" spans="5:5" x14ac:dyDescent="0.35">
      <c r="E485" s="24" t="str">
        <f t="shared" si="8"/>
        <v/>
      </c>
    </row>
    <row r="486" spans="5:5" x14ac:dyDescent="0.35">
      <c r="E486" s="24" t="str">
        <f t="shared" si="8"/>
        <v/>
      </c>
    </row>
    <row r="487" spans="5:5" x14ac:dyDescent="0.35">
      <c r="E487" s="24" t="str">
        <f t="shared" si="8"/>
        <v/>
      </c>
    </row>
    <row r="488" spans="5:5" x14ac:dyDescent="0.35">
      <c r="E488" s="24" t="str">
        <f t="shared" si="8"/>
        <v/>
      </c>
    </row>
    <row r="489" spans="5:5" x14ac:dyDescent="0.35">
      <c r="E489" s="24" t="str">
        <f t="shared" si="8"/>
        <v/>
      </c>
    </row>
    <row r="490" spans="5:5" x14ac:dyDescent="0.35">
      <c r="E490" s="24" t="str">
        <f t="shared" si="8"/>
        <v/>
      </c>
    </row>
    <row r="491" spans="5:5" x14ac:dyDescent="0.35">
      <c r="E491" s="24" t="str">
        <f t="shared" si="8"/>
        <v/>
      </c>
    </row>
    <row r="492" spans="5:5" x14ac:dyDescent="0.35">
      <c r="E492" s="24" t="str">
        <f t="shared" si="8"/>
        <v/>
      </c>
    </row>
    <row r="493" spans="5:5" x14ac:dyDescent="0.35">
      <c r="E493" s="24" t="str">
        <f t="shared" si="8"/>
        <v/>
      </c>
    </row>
    <row r="494" spans="5:5" x14ac:dyDescent="0.35">
      <c r="E494" s="24" t="str">
        <f t="shared" si="8"/>
        <v/>
      </c>
    </row>
    <row r="495" spans="5:5" x14ac:dyDescent="0.35">
      <c r="E495" s="24" t="str">
        <f t="shared" si="8"/>
        <v/>
      </c>
    </row>
    <row r="496" spans="5:5" x14ac:dyDescent="0.35">
      <c r="E496" s="24" t="str">
        <f t="shared" si="8"/>
        <v/>
      </c>
    </row>
    <row r="497" spans="5:5" x14ac:dyDescent="0.35">
      <c r="E497" s="24" t="str">
        <f t="shared" si="8"/>
        <v/>
      </c>
    </row>
    <row r="498" spans="5:5" x14ac:dyDescent="0.35">
      <c r="E498" s="24" t="str">
        <f t="shared" si="8"/>
        <v/>
      </c>
    </row>
    <row r="499" spans="5:5" x14ac:dyDescent="0.35">
      <c r="E499" s="24" t="str">
        <f t="shared" si="8"/>
        <v/>
      </c>
    </row>
    <row r="500" spans="5:5" x14ac:dyDescent="0.35">
      <c r="E500" s="24" t="str">
        <f t="shared" si="8"/>
        <v/>
      </c>
    </row>
    <row r="501" spans="5:5" x14ac:dyDescent="0.35">
      <c r="E501" s="24" t="str">
        <f t="shared" si="8"/>
        <v/>
      </c>
    </row>
  </sheetData>
  <sheetProtection formatCells="0" formatColumns="0" formatRows="0" insertRows="0" deleteRows="0" sort="0" autoFilter="0"/>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7328EC58-6DA9-4344-AA2B-03A4F9ACEDF6}">
          <x14:formula1>
            <xm:f>_xlfn.ANCHORARRAY('CGT Summary'!$S$12)</xm:f>
          </x14:formula1>
          <xm:sqref>B2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B5EE-A90A-4BFE-88CF-A23EBD793107}">
  <sheetPr>
    <tabColor theme="5" tint="0.79998168889431442"/>
  </sheetPr>
  <dimension ref="A1:J140"/>
  <sheetViews>
    <sheetView zoomScaleNormal="100" workbookViewId="0">
      <selection activeCell="D12" sqref="D12"/>
    </sheetView>
  </sheetViews>
  <sheetFormatPr defaultRowHeight="14.5" outlineLevelRow="1" x14ac:dyDescent="0.35"/>
  <cols>
    <col min="1" max="1" width="12.7265625" style="25" customWidth="1"/>
    <col min="2" max="2" width="19.1796875" style="52" bestFit="1" customWidth="1"/>
    <col min="3" max="3" width="18.90625" style="52" bestFit="1" customWidth="1"/>
    <col min="4" max="4" width="53.26953125" style="30" customWidth="1"/>
    <col min="5" max="5" width="61.81640625" style="25" customWidth="1"/>
    <col min="6" max="8" width="8.7265625" style="25"/>
    <col min="9" max="9" width="25.1796875" style="25" bestFit="1" customWidth="1"/>
    <col min="10" max="16384" width="8.7265625" style="25"/>
  </cols>
  <sheetData>
    <row r="1" spans="1:10" s="51" customFormat="1" x14ac:dyDescent="0.35">
      <c r="A1" s="51" t="s">
        <v>13</v>
      </c>
      <c r="B1" s="136" t="s">
        <v>69</v>
      </c>
      <c r="C1" s="51" t="s">
        <v>70</v>
      </c>
      <c r="D1" s="137" t="s">
        <v>71</v>
      </c>
      <c r="J1" s="137" t="s">
        <v>156</v>
      </c>
    </row>
    <row r="2" spans="1:10" ht="15" thickBot="1" x14ac:dyDescent="0.4">
      <c r="A2" s="1" t="e" cm="1" vm="2">
        <f t="array" ref="A2">_xlfn.LET(
  _xlpm.tkr,_xlfn.ANCHORARRAY( Parsed!$E$2),
  _xlpm.dt,_xlfn.ANCHORARRAY( Parsed!$B$2),
  _xlpm.u, _xlfn._xlws.SORT(_xlfn.UNIQUE(_xlpm.tkr)),
  _xlpm.firstDt, _xlfn.MAP(_xlpm.u, _xlfn.LAMBDA(_xlpm.t, _xlfn.MINIFS(_xlpm.dt, _xlpm.tkr, _xlpm.t))),
  _xlpm.lastDt, _xlfn.MAP(_xlpm.u, _xlfn.LAMBDA(_xlpm.t, _xlfn.MAXIFS(_xlpm.dt, _xlpm.tkr, _xlpm.t))),
  _xlfn.HSTACK(_xlpm.u, _xlpm.firstDt, _xlpm.lastDt)
)</f>
        <v>#VALUE!</v>
      </c>
      <c r="D2" s="138" t="s">
        <v>134</v>
      </c>
      <c r="E2" s="139" t="s">
        <v>148</v>
      </c>
      <c r="F2" s="139" t="s">
        <v>149</v>
      </c>
      <c r="G2" s="140" t="s">
        <v>75</v>
      </c>
      <c r="H2" s="140" t="s">
        <v>95</v>
      </c>
      <c r="I2" s="103" t="s">
        <v>226</v>
      </c>
      <c r="J2" s="1" t="e" cm="1" vm="2">
        <f t="array" ref="J2">_xlfn._xlws.SORT(_xlfn.UNIQUE(_xlfn.ANCHORARRAY(Parsed!$E$2)))</f>
        <v>#VALUE!</v>
      </c>
    </row>
    <row r="3" spans="1:10" x14ac:dyDescent="0.35">
      <c r="D3" s="27"/>
      <c r="E3" s="28"/>
      <c r="F3" s="28"/>
      <c r="G3" s="29"/>
      <c r="H3" s="29"/>
    </row>
    <row r="16" spans="1:10" hidden="1" outlineLevel="1" x14ac:dyDescent="0.35"/>
    <row r="17" hidden="1" outlineLevel="1" x14ac:dyDescent="0.35"/>
    <row r="18" hidden="1" outlineLevel="1" x14ac:dyDescent="0.35"/>
    <row r="19" hidden="1" outlineLevel="1" x14ac:dyDescent="0.35"/>
    <row r="20" hidden="1" outlineLevel="1" x14ac:dyDescent="0.35"/>
    <row r="21" hidden="1" outlineLevel="1" x14ac:dyDescent="0.35"/>
    <row r="22" hidden="1" outlineLevel="1" x14ac:dyDescent="0.35"/>
    <row r="23" hidden="1" outlineLevel="1" x14ac:dyDescent="0.35"/>
    <row r="24" hidden="1" outlineLevel="1" x14ac:dyDescent="0.35"/>
    <row r="25" hidden="1" outlineLevel="1" x14ac:dyDescent="0.35"/>
    <row r="26" hidden="1" outlineLevel="1" x14ac:dyDescent="0.35"/>
    <row r="27" hidden="1" outlineLevel="1" x14ac:dyDescent="0.35"/>
    <row r="28" hidden="1" outlineLevel="1" x14ac:dyDescent="0.35"/>
    <row r="29" hidden="1" outlineLevel="1" x14ac:dyDescent="0.35"/>
    <row r="30" hidden="1" outlineLevel="1" x14ac:dyDescent="0.35"/>
    <row r="31" hidden="1" outlineLevel="1" x14ac:dyDescent="0.35"/>
    <row r="32" hidden="1" outlineLevel="1" x14ac:dyDescent="0.35"/>
    <row r="33" hidden="1" outlineLevel="1" x14ac:dyDescent="0.35"/>
    <row r="34" hidden="1" outlineLevel="1" x14ac:dyDescent="0.35"/>
    <row r="35" hidden="1" outlineLevel="1" x14ac:dyDescent="0.35"/>
    <row r="36" hidden="1" outlineLevel="1" x14ac:dyDescent="0.35"/>
    <row r="37" hidden="1" outlineLevel="1" x14ac:dyDescent="0.35"/>
    <row r="38" hidden="1" outlineLevel="1" x14ac:dyDescent="0.35"/>
    <row r="39" hidden="1" outlineLevel="1" x14ac:dyDescent="0.35"/>
    <row r="40" hidden="1" outlineLevel="1" x14ac:dyDescent="0.35"/>
    <row r="41" hidden="1" outlineLevel="1" x14ac:dyDescent="0.35"/>
    <row r="42" hidden="1" outlineLevel="1" x14ac:dyDescent="0.35"/>
    <row r="43" hidden="1" outlineLevel="1" x14ac:dyDescent="0.35"/>
    <row r="44" hidden="1" outlineLevel="1" x14ac:dyDescent="0.35"/>
    <row r="45" hidden="1" outlineLevel="1" x14ac:dyDescent="0.35"/>
    <row r="46" hidden="1" outlineLevel="1" x14ac:dyDescent="0.35"/>
    <row r="47" hidden="1" outlineLevel="1" x14ac:dyDescent="0.35"/>
    <row r="48" hidden="1" outlineLevel="1" x14ac:dyDescent="0.35"/>
    <row r="49" hidden="1" outlineLevel="1" x14ac:dyDescent="0.35"/>
    <row r="50" hidden="1" outlineLevel="1" x14ac:dyDescent="0.35"/>
    <row r="51" hidden="1" outlineLevel="1" x14ac:dyDescent="0.35"/>
    <row r="52" hidden="1" outlineLevel="1" x14ac:dyDescent="0.35"/>
    <row r="53" hidden="1" outlineLevel="1" x14ac:dyDescent="0.35"/>
    <row r="54" hidden="1" outlineLevel="1" x14ac:dyDescent="0.35"/>
    <row r="55" hidden="1" outlineLevel="1" x14ac:dyDescent="0.35"/>
    <row r="56" hidden="1" outlineLevel="1" x14ac:dyDescent="0.35"/>
    <row r="57" hidden="1" outlineLevel="1" x14ac:dyDescent="0.35"/>
    <row r="58" hidden="1" outlineLevel="1" x14ac:dyDescent="0.35"/>
    <row r="59" hidden="1" outlineLevel="1" x14ac:dyDescent="0.35"/>
    <row r="60" hidden="1" outlineLevel="1" x14ac:dyDescent="0.35"/>
    <row r="61" hidden="1" outlineLevel="1" x14ac:dyDescent="0.35"/>
    <row r="62" hidden="1" outlineLevel="1" x14ac:dyDescent="0.35"/>
    <row r="63" hidden="1" outlineLevel="1" x14ac:dyDescent="0.35"/>
    <row r="64" hidden="1" outlineLevel="1" x14ac:dyDescent="0.35"/>
    <row r="65" hidden="1" outlineLevel="1" x14ac:dyDescent="0.35"/>
    <row r="66" hidden="1" outlineLevel="1" x14ac:dyDescent="0.35"/>
    <row r="67" hidden="1" outlineLevel="1" x14ac:dyDescent="0.35"/>
    <row r="68" hidden="1" outlineLevel="1" x14ac:dyDescent="0.35"/>
    <row r="69" hidden="1" outlineLevel="1" x14ac:dyDescent="0.35"/>
    <row r="70" hidden="1" outlineLevel="1" x14ac:dyDescent="0.35"/>
    <row r="71" hidden="1" outlineLevel="1" x14ac:dyDescent="0.35"/>
    <row r="72" hidden="1" outlineLevel="1" x14ac:dyDescent="0.35"/>
    <row r="73" hidden="1" outlineLevel="1" x14ac:dyDescent="0.35"/>
    <row r="74" hidden="1" outlineLevel="1" x14ac:dyDescent="0.35"/>
    <row r="75" hidden="1" outlineLevel="1" x14ac:dyDescent="0.35"/>
    <row r="76" hidden="1" outlineLevel="1" x14ac:dyDescent="0.35"/>
    <row r="77" hidden="1" outlineLevel="1" x14ac:dyDescent="0.35"/>
    <row r="78" hidden="1" outlineLevel="1" x14ac:dyDescent="0.35"/>
    <row r="79" hidden="1" outlineLevel="1" x14ac:dyDescent="0.35"/>
    <row r="80" hidden="1" outlineLevel="1" x14ac:dyDescent="0.35"/>
    <row r="81" hidden="1" outlineLevel="1" x14ac:dyDescent="0.35"/>
    <row r="82" hidden="1" outlineLevel="1" x14ac:dyDescent="0.35"/>
    <row r="83" hidden="1" outlineLevel="1" x14ac:dyDescent="0.35"/>
    <row r="84" hidden="1" outlineLevel="1" x14ac:dyDescent="0.35"/>
    <row r="85" hidden="1" outlineLevel="1" x14ac:dyDescent="0.35"/>
    <row r="86" hidden="1" outlineLevel="1" x14ac:dyDescent="0.35"/>
    <row r="87" hidden="1" outlineLevel="1" x14ac:dyDescent="0.35"/>
    <row r="88" hidden="1" outlineLevel="1" x14ac:dyDescent="0.35"/>
    <row r="89" hidden="1" outlineLevel="1" x14ac:dyDescent="0.35"/>
    <row r="90" hidden="1" outlineLevel="1" x14ac:dyDescent="0.35"/>
    <row r="91" hidden="1" outlineLevel="1" x14ac:dyDescent="0.35"/>
    <row r="92" hidden="1" outlineLevel="1" x14ac:dyDescent="0.35"/>
    <row r="93" hidden="1" outlineLevel="1" x14ac:dyDescent="0.35"/>
    <row r="94" hidden="1" outlineLevel="1" x14ac:dyDescent="0.35"/>
    <row r="95" hidden="1" outlineLevel="1" x14ac:dyDescent="0.35"/>
    <row r="96" hidden="1" outlineLevel="1" x14ac:dyDescent="0.35"/>
    <row r="97" hidden="1" outlineLevel="1" x14ac:dyDescent="0.35"/>
    <row r="98" hidden="1" outlineLevel="1" x14ac:dyDescent="0.35"/>
    <row r="99" hidden="1" outlineLevel="1" x14ac:dyDescent="0.35"/>
    <row r="100" hidden="1" outlineLevel="1" x14ac:dyDescent="0.35"/>
    <row r="101" hidden="1" outlineLevel="1" x14ac:dyDescent="0.35"/>
    <row r="102" hidden="1" outlineLevel="1" x14ac:dyDescent="0.35"/>
    <row r="103" hidden="1" outlineLevel="1" x14ac:dyDescent="0.35"/>
    <row r="104" hidden="1" outlineLevel="1" x14ac:dyDescent="0.35"/>
    <row r="105" hidden="1" outlineLevel="1" x14ac:dyDescent="0.35"/>
    <row r="106" hidden="1" outlineLevel="1" x14ac:dyDescent="0.35"/>
    <row r="107" hidden="1" outlineLevel="1" x14ac:dyDescent="0.35"/>
    <row r="108" hidden="1" outlineLevel="1" x14ac:dyDescent="0.35"/>
    <row r="109" hidden="1" outlineLevel="1" x14ac:dyDescent="0.35"/>
    <row r="110" hidden="1" outlineLevel="1" x14ac:dyDescent="0.35"/>
    <row r="111" hidden="1" outlineLevel="1" x14ac:dyDescent="0.35"/>
    <row r="112" collapsed="1" x14ac:dyDescent="0.35"/>
    <row r="113" spans="1:5" x14ac:dyDescent="0.35">
      <c r="A113" s="141" t="s">
        <v>72</v>
      </c>
      <c r="B113" s="31"/>
      <c r="C113" s="31"/>
      <c r="D113" s="31"/>
      <c r="E113" s="31"/>
    </row>
    <row r="114" spans="1:5" x14ac:dyDescent="0.35">
      <c r="A114" s="102" t="s">
        <v>73</v>
      </c>
    </row>
    <row r="115" spans="1:5" x14ac:dyDescent="0.35">
      <c r="A115" s="33" t="s">
        <v>13</v>
      </c>
      <c r="B115" s="142" t="s">
        <v>74</v>
      </c>
      <c r="C115" s="142" t="s">
        <v>75</v>
      </c>
      <c r="D115" s="32" t="s">
        <v>76</v>
      </c>
      <c r="E115" s="33" t="s">
        <v>77</v>
      </c>
    </row>
    <row r="116" spans="1:5" x14ac:dyDescent="0.35">
      <c r="A116" s="143"/>
      <c r="B116" s="144"/>
      <c r="C116" s="145"/>
      <c r="D116" s="34"/>
      <c r="E116" s="34"/>
    </row>
    <row r="117" spans="1:5" x14ac:dyDescent="0.35">
      <c r="A117" s="143"/>
      <c r="B117" s="144"/>
      <c r="C117" s="145"/>
      <c r="D117" s="34"/>
      <c r="E117" s="34"/>
    </row>
    <row r="118" spans="1:5" x14ac:dyDescent="0.35">
      <c r="A118" s="143"/>
      <c r="B118" s="144"/>
      <c r="C118" s="145"/>
      <c r="D118" s="34"/>
      <c r="E118" s="35"/>
    </row>
    <row r="119" spans="1:5" x14ac:dyDescent="0.35">
      <c r="A119" s="143"/>
      <c r="B119" s="144"/>
      <c r="C119" s="145"/>
      <c r="D119" s="34"/>
      <c r="E119" s="34"/>
    </row>
    <row r="120" spans="1:5" x14ac:dyDescent="0.35">
      <c r="A120" s="143"/>
      <c r="B120" s="144"/>
      <c r="C120" s="145"/>
      <c r="D120" s="34"/>
      <c r="E120" s="34"/>
    </row>
    <row r="121" spans="1:5" x14ac:dyDescent="0.35">
      <c r="A121" s="143"/>
      <c r="B121" s="144"/>
      <c r="C121" s="145"/>
      <c r="D121" s="34"/>
      <c r="E121" s="34"/>
    </row>
    <row r="122" spans="1:5" x14ac:dyDescent="0.35">
      <c r="A122" s="143"/>
      <c r="B122" s="144"/>
      <c r="C122" s="145"/>
      <c r="D122" s="34"/>
      <c r="E122" s="34"/>
    </row>
    <row r="123" spans="1:5" x14ac:dyDescent="0.35">
      <c r="A123" s="143"/>
      <c r="B123" s="144"/>
      <c r="C123" s="145"/>
      <c r="D123" s="34"/>
      <c r="E123" s="35"/>
    </row>
    <row r="124" spans="1:5" x14ac:dyDescent="0.35">
      <c r="A124" s="143"/>
      <c r="B124" s="144"/>
      <c r="C124" s="145"/>
      <c r="D124" s="34"/>
      <c r="E124" s="35"/>
    </row>
    <row r="125" spans="1:5" x14ac:dyDescent="0.35">
      <c r="A125" s="143"/>
      <c r="B125" s="144"/>
      <c r="C125" s="145"/>
      <c r="D125" s="34"/>
      <c r="E125" s="34"/>
    </row>
    <row r="126" spans="1:5" x14ac:dyDescent="0.35">
      <c r="A126" s="143"/>
      <c r="B126" s="144"/>
      <c r="C126" s="145"/>
      <c r="D126" s="34"/>
      <c r="E126" s="34"/>
    </row>
    <row r="138" spans="1:5" x14ac:dyDescent="0.35">
      <c r="A138" s="146" t="s">
        <v>78</v>
      </c>
      <c r="B138" s="36"/>
      <c r="C138" s="36"/>
      <c r="D138" s="36"/>
      <c r="E138" s="36"/>
    </row>
    <row r="139" spans="1:5" x14ac:dyDescent="0.35">
      <c r="A139" s="102" t="s">
        <v>79</v>
      </c>
    </row>
    <row r="140" spans="1:5" x14ac:dyDescent="0.35">
      <c r="A140" s="38" t="s">
        <v>13</v>
      </c>
      <c r="B140" s="147" t="s">
        <v>74</v>
      </c>
      <c r="C140" s="147" t="s">
        <v>75</v>
      </c>
      <c r="D140" s="37" t="s">
        <v>76</v>
      </c>
      <c r="E140" s="38" t="s">
        <v>77</v>
      </c>
    </row>
  </sheetData>
  <sheetProtection formatCells="0" formatColumns="0" formatRows="0" insertRows="0" deleteRows="0" sort="0" autoFilter="0"/>
  <mergeCells count="2">
    <mergeCell ref="A113:E113"/>
    <mergeCell ref="A138:E138"/>
  </mergeCells>
  <conditionalFormatting sqref="A1:J140">
    <cfRule type="expression" dxfId="6" priority="1">
      <formula>AND(ISERROR(A1),NoTradeData)</formula>
    </cfRule>
  </conditionalFormatting>
  <dataValidations count="1">
    <dataValidation type="list" allowBlank="1" showInputMessage="1" showErrorMessage="1" sqref="C116:C135 C141:C160" xr:uid="{03196B00-A294-4D77-9242-F2A06EEA5CF2}">
      <formula1>"Ticker Change,Merger,Acquisition-Takeover,Bankruptcy-Delisting,Stock Split-Consolidation,Demerger,Buyback,Cost Base Adjustment,Other"</formula1>
    </dataValidation>
  </dataValidations>
  <pageMargins left="0.7" right="0.7" top="0.75" bottom="0.75" header="0.3" footer="0.3"/>
  <pageSetup orientation="portrait" r:id="rId1"/>
  <headerFooter>
    <oddFooter>&amp;C© 2026 MAB · CGT Calculator · Licensed under CC BY-NC-SA 4.0 (creativecommons.org/licenses/by-nc-sa/4.0)</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13460-5372-4882-977A-3A7F57A72748}">
  <sheetPr>
    <tabColor theme="5" tint="0.79998168889431442"/>
  </sheetPr>
  <dimension ref="A1:J73"/>
  <sheetViews>
    <sheetView workbookViewId="0">
      <selection activeCell="J4" sqref="J4"/>
    </sheetView>
  </sheetViews>
  <sheetFormatPr defaultRowHeight="14.5" outlineLevelRow="1" x14ac:dyDescent="0.35"/>
  <cols>
    <col min="1" max="1" width="21.81640625" style="25" customWidth="1"/>
    <col min="2" max="2" width="14.54296875" style="25" customWidth="1"/>
    <col min="3" max="3" width="16.453125" style="25" bestFit="1" customWidth="1"/>
    <col min="4" max="5" width="15.453125" style="25" customWidth="1"/>
    <col min="6" max="6" width="17.26953125" style="25" customWidth="1"/>
    <col min="7" max="7" width="21.81640625" style="25" customWidth="1"/>
    <col min="8" max="8" width="47.26953125" style="25" customWidth="1"/>
    <col min="9" max="9" width="17" style="25" bestFit="1" customWidth="1"/>
    <col min="10" max="10" width="10.81640625" style="25" bestFit="1" customWidth="1"/>
    <col min="11" max="16384" width="8.7265625" style="25"/>
  </cols>
  <sheetData>
    <row r="1" spans="1:10" ht="18.5" x14ac:dyDescent="0.45">
      <c r="A1" s="148" t="s">
        <v>92</v>
      </c>
      <c r="B1" s="148"/>
      <c r="C1" s="148"/>
      <c r="D1" s="148"/>
      <c r="E1" s="148"/>
      <c r="F1" s="148"/>
      <c r="G1" s="148"/>
      <c r="H1" s="148"/>
      <c r="I1" s="148"/>
    </row>
    <row r="2" spans="1:10" ht="30" customHeight="1" x14ac:dyDescent="0.35">
      <c r="A2" s="149" t="s">
        <v>93</v>
      </c>
      <c r="B2" s="149"/>
      <c r="C2" s="149"/>
      <c r="D2" s="149"/>
      <c r="E2" s="149"/>
      <c r="F2" s="149"/>
      <c r="G2" s="149"/>
      <c r="H2" s="149"/>
      <c r="I2" s="149"/>
    </row>
    <row r="4" spans="1:10" ht="15" thickBot="1" x14ac:dyDescent="0.4">
      <c r="A4" s="150" t="s">
        <v>153</v>
      </c>
      <c r="B4" s="150" t="s">
        <v>13</v>
      </c>
      <c r="C4" s="151" t="s">
        <v>3</v>
      </c>
      <c r="D4" s="151" t="s">
        <v>94</v>
      </c>
      <c r="E4" s="151" t="s">
        <v>9</v>
      </c>
      <c r="F4" s="151" t="s">
        <v>122</v>
      </c>
      <c r="G4" s="151" t="s">
        <v>14</v>
      </c>
      <c r="H4" s="150" t="s">
        <v>75</v>
      </c>
      <c r="I4" s="150" t="s">
        <v>95</v>
      </c>
      <c r="J4" s="103" t="s">
        <v>223</v>
      </c>
    </row>
    <row r="5" spans="1:10" x14ac:dyDescent="0.35">
      <c r="A5" s="29"/>
      <c r="B5" s="29"/>
      <c r="C5" s="40"/>
      <c r="D5" s="41"/>
      <c r="E5" s="42"/>
      <c r="F5" s="43"/>
      <c r="G5" s="39" t="str">
        <f>IF(OR($D5="",$E5=""),"",$D5*$E5+N($F5))</f>
        <v/>
      </c>
      <c r="H5" s="29"/>
      <c r="I5" s="29"/>
    </row>
    <row r="6" spans="1:10" x14ac:dyDescent="0.35">
      <c r="A6" s="44"/>
      <c r="B6" s="44"/>
      <c r="C6" s="45"/>
      <c r="D6" s="46"/>
      <c r="E6" s="47"/>
      <c r="F6" s="48"/>
      <c r="G6" s="39" t="str">
        <f t="shared" ref="G6:G30" si="0">IF(OR($D6="",$E6=""),"",$D6*$E6+N($F6))</f>
        <v/>
      </c>
      <c r="H6" s="44"/>
      <c r="I6" s="44"/>
    </row>
    <row r="7" spans="1:10" x14ac:dyDescent="0.35">
      <c r="A7" s="44"/>
      <c r="B7" s="44"/>
      <c r="C7" s="45"/>
      <c r="D7" s="46"/>
      <c r="E7" s="47"/>
      <c r="F7" s="48"/>
      <c r="G7" s="39" t="str">
        <f t="shared" si="0"/>
        <v/>
      </c>
      <c r="H7" s="44"/>
      <c r="I7" s="44"/>
    </row>
    <row r="8" spans="1:10" x14ac:dyDescent="0.35">
      <c r="A8" s="44"/>
      <c r="B8" s="44"/>
      <c r="C8" s="45"/>
      <c r="D8" s="46"/>
      <c r="E8" s="47"/>
      <c r="F8" s="48"/>
      <c r="G8" s="39" t="str">
        <f t="shared" si="0"/>
        <v/>
      </c>
      <c r="H8" s="44"/>
      <c r="I8" s="44"/>
    </row>
    <row r="9" spans="1:10" x14ac:dyDescent="0.35">
      <c r="A9" s="44"/>
      <c r="B9" s="44"/>
      <c r="C9" s="45"/>
      <c r="D9" s="46"/>
      <c r="E9" s="47"/>
      <c r="F9" s="48"/>
      <c r="G9" s="39" t="str">
        <f t="shared" si="0"/>
        <v/>
      </c>
      <c r="H9" s="44"/>
      <c r="I9" s="44"/>
    </row>
    <row r="10" spans="1:10" x14ac:dyDescent="0.35">
      <c r="A10" s="44"/>
      <c r="B10" s="44"/>
      <c r="C10" s="45"/>
      <c r="D10" s="46"/>
      <c r="E10" s="47"/>
      <c r="F10" s="48"/>
      <c r="G10" s="39" t="str">
        <f t="shared" si="0"/>
        <v/>
      </c>
      <c r="H10" s="44"/>
      <c r="I10" s="44"/>
    </row>
    <row r="11" spans="1:10" hidden="1" outlineLevel="1" x14ac:dyDescent="0.35">
      <c r="A11" s="44"/>
      <c r="B11" s="44"/>
      <c r="C11" s="45"/>
      <c r="D11" s="46"/>
      <c r="E11" s="47"/>
      <c r="F11" s="48"/>
      <c r="G11" s="39" t="str">
        <f t="shared" si="0"/>
        <v/>
      </c>
      <c r="H11" s="44"/>
      <c r="I11" s="44"/>
    </row>
    <row r="12" spans="1:10" hidden="1" outlineLevel="1" x14ac:dyDescent="0.35">
      <c r="A12" s="44"/>
      <c r="B12" s="44"/>
      <c r="C12" s="45"/>
      <c r="D12" s="46"/>
      <c r="E12" s="47"/>
      <c r="F12" s="48"/>
      <c r="G12" s="39" t="str">
        <f t="shared" si="0"/>
        <v/>
      </c>
      <c r="H12" s="44"/>
      <c r="I12" s="44"/>
    </row>
    <row r="13" spans="1:10" hidden="1" outlineLevel="1" x14ac:dyDescent="0.35">
      <c r="A13" s="44"/>
      <c r="B13" s="44"/>
      <c r="C13" s="45"/>
      <c r="D13" s="46"/>
      <c r="E13" s="47"/>
      <c r="F13" s="48"/>
      <c r="G13" s="39" t="str">
        <f t="shared" si="0"/>
        <v/>
      </c>
      <c r="H13" s="44"/>
      <c r="I13" s="44"/>
    </row>
    <row r="14" spans="1:10" hidden="1" outlineLevel="1" x14ac:dyDescent="0.35">
      <c r="A14" s="44"/>
      <c r="B14" s="44"/>
      <c r="C14" s="45"/>
      <c r="D14" s="46"/>
      <c r="E14" s="47"/>
      <c r="F14" s="48"/>
      <c r="G14" s="39" t="str">
        <f t="shared" si="0"/>
        <v/>
      </c>
      <c r="H14" s="44"/>
      <c r="I14" s="44"/>
    </row>
    <row r="15" spans="1:10" hidden="1" outlineLevel="1" x14ac:dyDescent="0.35">
      <c r="A15" s="44"/>
      <c r="B15" s="44"/>
      <c r="C15" s="45"/>
      <c r="D15" s="46"/>
      <c r="E15" s="47"/>
      <c r="F15" s="48"/>
      <c r="G15" s="39" t="str">
        <f t="shared" si="0"/>
        <v/>
      </c>
      <c r="H15" s="44"/>
      <c r="I15" s="44"/>
    </row>
    <row r="16" spans="1:10" hidden="1" outlineLevel="1" x14ac:dyDescent="0.35">
      <c r="A16" s="44"/>
      <c r="B16" s="44"/>
      <c r="C16" s="45"/>
      <c r="D16" s="46"/>
      <c r="E16" s="47"/>
      <c r="F16" s="48"/>
      <c r="G16" s="39" t="str">
        <f t="shared" si="0"/>
        <v/>
      </c>
      <c r="H16" s="44"/>
      <c r="I16" s="44"/>
    </row>
    <row r="17" spans="1:9" hidden="1" outlineLevel="1" x14ac:dyDescent="0.35">
      <c r="A17" s="44"/>
      <c r="B17" s="44"/>
      <c r="C17" s="45"/>
      <c r="D17" s="46"/>
      <c r="E17" s="47"/>
      <c r="F17" s="48"/>
      <c r="G17" s="39" t="str">
        <f t="shared" si="0"/>
        <v/>
      </c>
      <c r="H17" s="44"/>
      <c r="I17" s="44"/>
    </row>
    <row r="18" spans="1:9" hidden="1" outlineLevel="1" x14ac:dyDescent="0.35">
      <c r="A18" s="44"/>
      <c r="B18" s="44"/>
      <c r="C18" s="45"/>
      <c r="D18" s="46"/>
      <c r="E18" s="47"/>
      <c r="F18" s="48"/>
      <c r="G18" s="39" t="str">
        <f t="shared" si="0"/>
        <v/>
      </c>
      <c r="H18" s="44"/>
      <c r="I18" s="44"/>
    </row>
    <row r="19" spans="1:9" hidden="1" outlineLevel="1" x14ac:dyDescent="0.35">
      <c r="A19" s="44"/>
      <c r="B19" s="44"/>
      <c r="C19" s="45"/>
      <c r="D19" s="46"/>
      <c r="E19" s="47"/>
      <c r="F19" s="48"/>
      <c r="G19" s="39" t="str">
        <f t="shared" si="0"/>
        <v/>
      </c>
      <c r="H19" s="44"/>
      <c r="I19" s="44"/>
    </row>
    <row r="20" spans="1:9" hidden="1" outlineLevel="1" x14ac:dyDescent="0.35">
      <c r="A20" s="44"/>
      <c r="B20" s="44"/>
      <c r="C20" s="45"/>
      <c r="D20" s="46"/>
      <c r="E20" s="47"/>
      <c r="F20" s="48"/>
      <c r="G20" s="39" t="str">
        <f t="shared" si="0"/>
        <v/>
      </c>
      <c r="H20" s="44"/>
      <c r="I20" s="44"/>
    </row>
    <row r="21" spans="1:9" hidden="1" outlineLevel="1" x14ac:dyDescent="0.35">
      <c r="A21" s="44"/>
      <c r="B21" s="44"/>
      <c r="C21" s="45"/>
      <c r="D21" s="46"/>
      <c r="E21" s="47"/>
      <c r="F21" s="48"/>
      <c r="G21" s="39" t="str">
        <f t="shared" si="0"/>
        <v/>
      </c>
      <c r="H21" s="44"/>
      <c r="I21" s="44"/>
    </row>
    <row r="22" spans="1:9" hidden="1" outlineLevel="1" x14ac:dyDescent="0.35">
      <c r="A22" s="44"/>
      <c r="B22" s="44"/>
      <c r="C22" s="45"/>
      <c r="D22" s="46"/>
      <c r="E22" s="47"/>
      <c r="F22" s="48"/>
      <c r="G22" s="39" t="str">
        <f t="shared" si="0"/>
        <v/>
      </c>
      <c r="H22" s="44"/>
      <c r="I22" s="44"/>
    </row>
    <row r="23" spans="1:9" hidden="1" outlineLevel="1" x14ac:dyDescent="0.35">
      <c r="A23" s="44"/>
      <c r="B23" s="44"/>
      <c r="C23" s="45"/>
      <c r="D23" s="46"/>
      <c r="E23" s="47"/>
      <c r="F23" s="48"/>
      <c r="G23" s="39" t="str">
        <f t="shared" si="0"/>
        <v/>
      </c>
      <c r="H23" s="44"/>
      <c r="I23" s="44"/>
    </row>
    <row r="24" spans="1:9" hidden="1" outlineLevel="1" x14ac:dyDescent="0.35">
      <c r="A24" s="44"/>
      <c r="B24" s="44"/>
      <c r="C24" s="45"/>
      <c r="D24" s="46"/>
      <c r="E24" s="47"/>
      <c r="F24" s="48"/>
      <c r="G24" s="39" t="str">
        <f t="shared" si="0"/>
        <v/>
      </c>
      <c r="H24" s="44"/>
      <c r="I24" s="44"/>
    </row>
    <row r="25" spans="1:9" hidden="1" outlineLevel="1" x14ac:dyDescent="0.35">
      <c r="A25" s="44"/>
      <c r="B25" s="44"/>
      <c r="C25" s="45"/>
      <c r="D25" s="46"/>
      <c r="E25" s="47"/>
      <c r="F25" s="48"/>
      <c r="G25" s="39" t="str">
        <f t="shared" si="0"/>
        <v/>
      </c>
      <c r="H25" s="44"/>
      <c r="I25" s="44"/>
    </row>
    <row r="26" spans="1:9" hidden="1" outlineLevel="1" x14ac:dyDescent="0.35">
      <c r="A26" s="44"/>
      <c r="B26" s="44"/>
      <c r="C26" s="45"/>
      <c r="D26" s="46"/>
      <c r="E26" s="47"/>
      <c r="F26" s="48"/>
      <c r="G26" s="39" t="str">
        <f t="shared" si="0"/>
        <v/>
      </c>
      <c r="H26" s="44"/>
      <c r="I26" s="44"/>
    </row>
    <row r="27" spans="1:9" hidden="1" outlineLevel="1" x14ac:dyDescent="0.35">
      <c r="A27" s="44"/>
      <c r="B27" s="44"/>
      <c r="C27" s="45"/>
      <c r="D27" s="46"/>
      <c r="E27" s="47"/>
      <c r="F27" s="48"/>
      <c r="G27" s="39" t="str">
        <f t="shared" si="0"/>
        <v/>
      </c>
      <c r="H27" s="44"/>
      <c r="I27" s="44"/>
    </row>
    <row r="28" spans="1:9" hidden="1" outlineLevel="1" x14ac:dyDescent="0.35">
      <c r="A28" s="44"/>
      <c r="B28" s="44"/>
      <c r="C28" s="45"/>
      <c r="D28" s="46"/>
      <c r="E28" s="47"/>
      <c r="F28" s="48"/>
      <c r="G28" s="39" t="str">
        <f t="shared" si="0"/>
        <v/>
      </c>
      <c r="H28" s="44"/>
      <c r="I28" s="44"/>
    </row>
    <row r="29" spans="1:9" hidden="1" outlineLevel="1" x14ac:dyDescent="0.35">
      <c r="A29" s="44"/>
      <c r="C29" s="45"/>
      <c r="D29" s="46"/>
      <c r="E29" s="47"/>
      <c r="F29" s="48"/>
      <c r="G29" s="39" t="str">
        <f t="shared" si="0"/>
        <v/>
      </c>
      <c r="H29" s="44"/>
      <c r="I29" s="44"/>
    </row>
    <row r="30" spans="1:9" hidden="1" outlineLevel="1" x14ac:dyDescent="0.35">
      <c r="G30" s="39" t="str">
        <f t="shared" si="0"/>
        <v/>
      </c>
    </row>
    <row r="31" spans="1:9" collapsed="1" x14ac:dyDescent="0.35"/>
    <row r="32" spans="1:9" ht="16" x14ac:dyDescent="0.4">
      <c r="A32" s="152" t="s">
        <v>96</v>
      </c>
    </row>
    <row r="33" spans="1:8" x14ac:dyDescent="0.35">
      <c r="A33" s="153" t="s">
        <v>123</v>
      </c>
      <c r="B33" s="153"/>
      <c r="C33" s="153"/>
      <c r="D33" s="153"/>
      <c r="E33" s="153"/>
      <c r="F33" s="153"/>
      <c r="G33" s="153"/>
      <c r="H33" s="153"/>
    </row>
    <row r="34" spans="1:8" x14ac:dyDescent="0.35">
      <c r="A34" s="154" t="s">
        <v>75</v>
      </c>
      <c r="B34" s="154" t="s">
        <v>97</v>
      </c>
      <c r="C34" s="154" t="s">
        <v>98</v>
      </c>
      <c r="D34" s="155" t="s">
        <v>99</v>
      </c>
      <c r="E34" s="155"/>
      <c r="F34" s="155"/>
      <c r="G34" s="155"/>
      <c r="H34" s="155"/>
    </row>
    <row r="35" spans="1:8" ht="29" x14ac:dyDescent="0.35">
      <c r="A35" s="156" t="s">
        <v>100</v>
      </c>
      <c r="B35" s="156" t="s">
        <v>101</v>
      </c>
      <c r="C35" s="156" t="s">
        <v>102</v>
      </c>
      <c r="D35" s="157" t="s">
        <v>103</v>
      </c>
      <c r="E35" s="157"/>
      <c r="F35" s="157"/>
      <c r="G35" s="157"/>
      <c r="H35" s="157"/>
    </row>
    <row r="36" spans="1:8" ht="43.5" x14ac:dyDescent="0.35">
      <c r="A36" s="156" t="s">
        <v>104</v>
      </c>
      <c r="B36" s="156" t="s">
        <v>105</v>
      </c>
      <c r="C36" s="156" t="s">
        <v>106</v>
      </c>
      <c r="D36" s="157" t="s">
        <v>107</v>
      </c>
      <c r="E36" s="157"/>
      <c r="F36" s="157"/>
      <c r="G36" s="157"/>
      <c r="H36" s="157"/>
    </row>
    <row r="37" spans="1:8" ht="29" x14ac:dyDescent="0.35">
      <c r="A37" s="156" t="s">
        <v>80</v>
      </c>
      <c r="B37" s="156" t="s">
        <v>108</v>
      </c>
      <c r="C37" s="156" t="s">
        <v>109</v>
      </c>
      <c r="D37" s="157" t="s">
        <v>110</v>
      </c>
      <c r="E37" s="157"/>
      <c r="F37" s="157"/>
      <c r="G37" s="157"/>
      <c r="H37" s="157"/>
    </row>
    <row r="38" spans="1:8" ht="29" x14ac:dyDescent="0.35">
      <c r="A38" s="156" t="s">
        <v>111</v>
      </c>
      <c r="B38" s="156" t="s">
        <v>101</v>
      </c>
      <c r="C38" s="156" t="s">
        <v>112</v>
      </c>
      <c r="D38" s="157" t="s">
        <v>113</v>
      </c>
      <c r="E38" s="157"/>
      <c r="F38" s="157"/>
      <c r="G38" s="157"/>
      <c r="H38" s="157"/>
    </row>
    <row r="39" spans="1:8" ht="43.5" x14ac:dyDescent="0.35">
      <c r="A39" s="156" t="s">
        <v>114</v>
      </c>
      <c r="B39" s="156" t="s">
        <v>115</v>
      </c>
      <c r="C39" s="156" t="s">
        <v>116</v>
      </c>
      <c r="D39" s="157" t="s">
        <v>117</v>
      </c>
      <c r="E39" s="157"/>
      <c r="F39" s="157"/>
      <c r="G39" s="157"/>
      <c r="H39" s="157"/>
    </row>
    <row r="40" spans="1:8" x14ac:dyDescent="0.35">
      <c r="A40" s="158" t="s">
        <v>118</v>
      </c>
      <c r="B40" s="158" t="s">
        <v>119</v>
      </c>
      <c r="C40" s="158" t="s">
        <v>120</v>
      </c>
      <c r="D40" s="159" t="s">
        <v>121</v>
      </c>
      <c r="E40" s="159"/>
      <c r="F40" s="159"/>
      <c r="G40" s="159"/>
      <c r="H40" s="159"/>
    </row>
    <row r="41" spans="1:8" ht="29" x14ac:dyDescent="0.35">
      <c r="A41" s="160" t="s">
        <v>125</v>
      </c>
      <c r="B41" s="160" t="s">
        <v>105</v>
      </c>
      <c r="C41" s="160" t="s">
        <v>126</v>
      </c>
      <c r="D41" s="161" t="s">
        <v>127</v>
      </c>
      <c r="E41" s="161"/>
      <c r="F41" s="161"/>
      <c r="G41" s="161"/>
      <c r="H41" s="161"/>
    </row>
    <row r="42" spans="1:8" ht="29" x14ac:dyDescent="0.35">
      <c r="A42" s="162" t="s">
        <v>128</v>
      </c>
      <c r="B42" s="162" t="s">
        <v>129</v>
      </c>
      <c r="C42" s="162" t="s">
        <v>130</v>
      </c>
      <c r="D42" s="163" t="s">
        <v>131</v>
      </c>
      <c r="E42" s="163"/>
      <c r="F42" s="163"/>
      <c r="G42" s="163"/>
      <c r="H42" s="163"/>
    </row>
    <row r="44" spans="1:8" ht="16" x14ac:dyDescent="0.4">
      <c r="A44" s="152" t="s">
        <v>132</v>
      </c>
    </row>
    <row r="45" spans="1:8" x14ac:dyDescent="0.35">
      <c r="A45" s="149" t="s">
        <v>133</v>
      </c>
      <c r="B45" s="149"/>
      <c r="C45" s="149"/>
      <c r="D45" s="149"/>
      <c r="E45" s="149"/>
      <c r="F45" s="149"/>
      <c r="G45" s="149"/>
      <c r="H45" s="149"/>
    </row>
    <row r="46" spans="1:8" ht="15" thickBot="1" x14ac:dyDescent="0.4">
      <c r="A46" s="150" t="s">
        <v>13</v>
      </c>
      <c r="B46" s="151" t="s">
        <v>134</v>
      </c>
      <c r="C46" s="151" t="s">
        <v>135</v>
      </c>
      <c r="D46" s="103" t="s">
        <v>223</v>
      </c>
    </row>
    <row r="47" spans="1:8" x14ac:dyDescent="0.35">
      <c r="A47" s="29"/>
      <c r="B47" s="40"/>
      <c r="C47" s="49"/>
    </row>
    <row r="69" spans="1:4" ht="16" x14ac:dyDescent="0.4">
      <c r="A69" s="152" t="s">
        <v>157</v>
      </c>
    </row>
    <row r="70" spans="1:4" x14ac:dyDescent="0.35">
      <c r="A70" s="153" t="s">
        <v>158</v>
      </c>
      <c r="B70" s="153"/>
      <c r="C70" s="153"/>
      <c r="D70" s="153"/>
    </row>
    <row r="71" spans="1:4" x14ac:dyDescent="0.35">
      <c r="A71" s="33" t="s">
        <v>153</v>
      </c>
      <c r="B71" s="33" t="s">
        <v>13</v>
      </c>
      <c r="C71" s="164" t="s">
        <v>134</v>
      </c>
      <c r="D71" s="164" t="s">
        <v>159</v>
      </c>
    </row>
    <row r="72" spans="1:4" x14ac:dyDescent="0.35">
      <c r="A72" s="44"/>
      <c r="B72" s="44"/>
      <c r="C72" s="45"/>
      <c r="D72" s="50"/>
    </row>
    <row r="73" spans="1:4" x14ac:dyDescent="0.35">
      <c r="A73" s="44"/>
      <c r="B73" s="44"/>
      <c r="C73" s="45"/>
      <c r="D73" s="50"/>
    </row>
  </sheetData>
  <sheetProtection formatCells="0" formatColumns="0" formatRows="0" insertRows="0" deleteRows="0" sort="0" autoFilter="0"/>
  <mergeCells count="23">
    <mergeCell ref="D36:F36"/>
    <mergeCell ref="G36:H36"/>
    <mergeCell ref="D42:F42"/>
    <mergeCell ref="G42:H42"/>
    <mergeCell ref="A45:H45"/>
    <mergeCell ref="D40:F40"/>
    <mergeCell ref="G40:H40"/>
    <mergeCell ref="A1:I1"/>
    <mergeCell ref="A2:I2"/>
    <mergeCell ref="A70:D70"/>
    <mergeCell ref="D41:F41"/>
    <mergeCell ref="G41:H41"/>
    <mergeCell ref="D37:F37"/>
    <mergeCell ref="G37:H37"/>
    <mergeCell ref="D38:F38"/>
    <mergeCell ref="G38:H38"/>
    <mergeCell ref="D39:F39"/>
    <mergeCell ref="G39:H39"/>
    <mergeCell ref="A33:H33"/>
    <mergeCell ref="D34:F34"/>
    <mergeCell ref="G34:H34"/>
    <mergeCell ref="D35:F35"/>
    <mergeCell ref="G35:H35"/>
  </mergeCells>
  <dataValidations count="1">
    <dataValidation type="list" allowBlank="1" showInputMessage="1" showErrorMessage="1" sqref="H5:H29" xr:uid="{69CC9702-BADB-486F-879B-E7102AFCF27C}">
      <formula1>"Takeover / Delisting,M&amp;A / Merger,Demerger,Distribution / Dividend Reinvestment,Off-market Buyback,Ticker / Name Change,Return of Capital,Split / Consolidation,Other"</formula1>
    </dataValidation>
  </dataValidations>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343680AF-2148-495E-B685-77D4B81159F9}">
          <x14:formula1>
            <xm:f>Considerations!$A$2:$A$52</xm:f>
          </x14:formula1>
          <xm:sqref>A47:A66</xm:sqref>
        </x14:dataValidation>
        <x14:dataValidation type="list" allowBlank="1" showInputMessage="1" showErrorMessage="1" xr:uid="{15A157CD-C698-4323-A45B-70D567A1AECD}">
          <x14:formula1>
            <xm:f>_xlfn.ANCHORARRAY(Considerations!$J$2)</xm:f>
          </x14:formula1>
          <xm:sqref>B5:B30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840F0-4EE6-42F7-A1EA-4EF7EB47C8F0}">
  <dimension ref="A1:W158"/>
  <sheetViews>
    <sheetView workbookViewId="0">
      <pane ySplit="2" topLeftCell="A3" activePane="bottomLeft" state="frozen"/>
      <selection activeCell="C168" sqref="C168"/>
      <selection pane="bottomLeft" activeCell="L15" sqref="L15"/>
    </sheetView>
  </sheetViews>
  <sheetFormatPr defaultRowHeight="14.5" x14ac:dyDescent="0.35"/>
  <cols>
    <col min="1" max="1" width="13.6328125" style="25" customWidth="1"/>
    <col min="2" max="3" width="8.7265625" style="25"/>
    <col min="4" max="4" width="11.26953125" style="25" customWidth="1"/>
    <col min="5" max="5" width="14.1796875" style="25" customWidth="1"/>
    <col min="6" max="6" width="14.90625" style="25" customWidth="1"/>
    <col min="7" max="7" width="16" style="25" customWidth="1"/>
    <col min="8" max="8" width="3.26953125" style="25" customWidth="1"/>
    <col min="9" max="9" width="13.6328125" style="25" customWidth="1"/>
    <col min="10" max="11" width="8.7265625" style="25"/>
    <col min="12" max="12" width="11.26953125" style="25" customWidth="1"/>
    <col min="13" max="13" width="14.1796875" style="25" customWidth="1"/>
    <col min="14" max="14" width="14.90625" style="25" customWidth="1"/>
    <col min="15" max="15" width="16" style="25" customWidth="1"/>
    <col min="16" max="16" width="3.26953125" style="25" customWidth="1"/>
    <col min="17" max="17" width="13.6328125" style="25" customWidth="1"/>
    <col min="18" max="19" width="8.7265625" style="25"/>
    <col min="20" max="20" width="11.26953125" style="25" customWidth="1"/>
    <col min="21" max="21" width="14.1796875" style="25" customWidth="1"/>
    <col min="22" max="22" width="14.90625" style="25" customWidth="1"/>
    <col min="23" max="23" width="16" style="25" customWidth="1"/>
    <col min="24" max="16384" width="8.7265625" style="25"/>
  </cols>
  <sheetData>
    <row r="1" spans="1:23" ht="16" x14ac:dyDescent="0.4">
      <c r="A1" s="165" t="s">
        <v>150</v>
      </c>
      <c r="B1" s="165"/>
      <c r="C1" s="165"/>
      <c r="D1" s="165"/>
      <c r="E1" s="165"/>
      <c r="F1" s="165"/>
      <c r="G1" s="165"/>
      <c r="I1" s="166" t="s">
        <v>151</v>
      </c>
      <c r="J1" s="166"/>
      <c r="K1" s="166"/>
      <c r="L1" s="166"/>
      <c r="M1" s="166"/>
      <c r="N1" s="166"/>
      <c r="O1" s="166"/>
      <c r="Q1" s="167" t="s">
        <v>152</v>
      </c>
      <c r="R1" s="167"/>
      <c r="S1" s="167"/>
      <c r="T1" s="167"/>
      <c r="U1" s="167"/>
      <c r="V1" s="167"/>
      <c r="W1" s="167"/>
    </row>
    <row r="2" spans="1:23" x14ac:dyDescent="0.35">
      <c r="A2" s="168" t="s">
        <v>3</v>
      </c>
      <c r="B2" s="169" t="s">
        <v>12</v>
      </c>
      <c r="C2" s="169" t="s">
        <v>13</v>
      </c>
      <c r="D2" s="170" t="s">
        <v>8</v>
      </c>
      <c r="E2" s="170" t="s">
        <v>9</v>
      </c>
      <c r="F2" s="170" t="s">
        <v>15</v>
      </c>
      <c r="G2" s="170" t="s">
        <v>14</v>
      </c>
      <c r="I2" s="168" t="s">
        <v>3</v>
      </c>
      <c r="J2" s="169" t="s">
        <v>12</v>
      </c>
      <c r="K2" s="169" t="s">
        <v>13</v>
      </c>
      <c r="L2" s="170" t="s">
        <v>8</v>
      </c>
      <c r="M2" s="170" t="s">
        <v>9</v>
      </c>
      <c r="N2" s="170" t="s">
        <v>15</v>
      </c>
      <c r="O2" s="170" t="s">
        <v>14</v>
      </c>
      <c r="Q2" s="168" t="s">
        <v>3</v>
      </c>
      <c r="R2" s="169" t="s">
        <v>12</v>
      </c>
      <c r="S2" s="169" t="s">
        <v>13</v>
      </c>
      <c r="T2" s="170" t="s">
        <v>8</v>
      </c>
      <c r="U2" s="170" t="s">
        <v>9</v>
      </c>
      <c r="V2" s="170" t="s">
        <v>15</v>
      </c>
      <c r="W2" s="170" t="s">
        <v>14</v>
      </c>
    </row>
    <row r="3" spans="1:23" x14ac:dyDescent="0.35">
      <c r="A3" s="2" t="e" cm="1" vm="2">
        <f t="array" ref="A3">_xlfn.ANCHORARRAY('Account 1 (CommSec)'!I2)</f>
        <v>#VALUE!</v>
      </c>
      <c r="B3" s="3" t="e" cm="1" vm="2">
        <f t="array" ref="B3">_xlfn.ANCHORARRAY('Account 1 (CommSec)'!J2)</f>
        <v>#VALUE!</v>
      </c>
      <c r="C3" s="3" t="e" cm="1" vm="2">
        <f t="array" ref="C3">_xlfn.ANCHORARRAY('Account 1 (CommSec)'!K2)</f>
        <v>#VALUE!</v>
      </c>
      <c r="D3" s="4" t="e" cm="1" vm="2">
        <f t="array" ref="D3">_xlfn.ANCHORARRAY('Account 1 (CommSec)'!L2)</f>
        <v>#VALUE!</v>
      </c>
      <c r="E3" s="5" t="e" cm="1" vm="2">
        <f t="array" ref="E3">_xlfn.ANCHORARRAY('Account 1 (CommSec)'!M2)</f>
        <v>#VALUE!</v>
      </c>
      <c r="F3" s="6" t="e" cm="1" vm="2">
        <f t="array" ref="F3">_xlfn.ANCHORARRAY('Account 1 (CommSec)'!N2)</f>
        <v>#VALUE!</v>
      </c>
      <c r="G3" s="6" t="e" cm="1" vm="2">
        <f t="array" ref="G3">_xlfn.ANCHORARRAY('Account 1 (CommSec)'!O2)</f>
        <v>#VALUE!</v>
      </c>
      <c r="I3" s="2" t="e" cm="1" vm="2">
        <f t="array" ref="I3">_xlfn.ANCHORARRAY('Account 2 (CommSec Pocket)'!I2)</f>
        <v>#VALUE!</v>
      </c>
      <c r="J3" s="3" t="e" cm="1" vm="2">
        <f t="array" ref="J3">_xlfn.ANCHORARRAY('Account 2 (CommSec Pocket)'!J2)</f>
        <v>#VALUE!</v>
      </c>
      <c r="K3" s="3" t="e" cm="1" vm="2">
        <f t="array" ref="K3">_xlfn.ANCHORARRAY('Account 2 (CommSec Pocket)'!K2)</f>
        <v>#VALUE!</v>
      </c>
      <c r="L3" s="4" t="e" cm="1" vm="2">
        <f t="array" ref="L3">_xlfn.ANCHORARRAY('Account 2 (CommSec Pocket)'!L2)</f>
        <v>#VALUE!</v>
      </c>
      <c r="M3" s="5" t="e" cm="1" vm="2">
        <f t="array" ref="M3">_xlfn.ANCHORARRAY('Account 2 (CommSec Pocket)'!M2)</f>
        <v>#VALUE!</v>
      </c>
      <c r="N3" s="6" t="e" cm="1" vm="2">
        <f t="array" ref="N3">_xlfn.ANCHORARRAY('Account 2 (CommSec Pocket)'!N2)</f>
        <v>#VALUE!</v>
      </c>
      <c r="O3" s="6" t="e" cm="1" vm="2">
        <f t="array" ref="O3">_xlfn.ANCHORARRAY('Account 2 (CommSec Pocket)'!O2)</f>
        <v>#VALUE!</v>
      </c>
      <c r="Q3" s="2" t="e" cm="1" vm="2">
        <f t="array" ref="Q3">_xlfn.ANCHORARRAY('Account 3 (CMC)'!J2)</f>
        <v>#VALUE!</v>
      </c>
      <c r="R3" s="3" t="e" cm="1" vm="2">
        <f t="array" ref="R3">_xlfn.ANCHORARRAY('Account 3 (CMC)'!K2)</f>
        <v>#VALUE!</v>
      </c>
      <c r="S3" s="3" t="e" cm="1" vm="2">
        <f t="array" ref="S3">_xlfn.ANCHORARRAY('Account 3 (CMC)'!L2)</f>
        <v>#VALUE!</v>
      </c>
      <c r="T3" s="4" t="e" cm="1" vm="2">
        <f t="array" ref="T3">_xlfn.ANCHORARRAY('Account 3 (CMC)'!M2)</f>
        <v>#VALUE!</v>
      </c>
      <c r="U3" s="5" t="e" cm="1" vm="2">
        <f t="array" ref="U3">_xlfn.ANCHORARRAY('Account 3 (CMC)'!N2)</f>
        <v>#VALUE!</v>
      </c>
      <c r="V3" s="6" t="e" cm="1" vm="2">
        <f t="array" ref="V3">_xlfn.ANCHORARRAY('Account 3 (CMC)'!O2)</f>
        <v>#VALUE!</v>
      </c>
      <c r="W3" s="6" t="e" cm="1" vm="2">
        <f t="array" ref="W3">_xlfn.ANCHORARRAY('Account 3 (CMC)'!P2)</f>
        <v>#VALUE!</v>
      </c>
    </row>
    <row r="4" spans="1:23" x14ac:dyDescent="0.35">
      <c r="A4" s="80"/>
      <c r="B4" s="81"/>
      <c r="C4" s="81"/>
      <c r="D4" s="82"/>
      <c r="E4" s="83"/>
      <c r="F4" s="84"/>
      <c r="G4" s="84"/>
      <c r="I4" s="80"/>
      <c r="J4" s="81"/>
      <c r="K4" s="81"/>
      <c r="L4" s="82"/>
      <c r="M4" s="83"/>
      <c r="N4" s="84"/>
      <c r="O4" s="84"/>
      <c r="Q4" s="80"/>
      <c r="R4" s="81"/>
      <c r="S4" s="81"/>
      <c r="T4" s="82"/>
      <c r="U4" s="83"/>
      <c r="V4" s="84"/>
      <c r="W4" s="84"/>
    </row>
    <row r="5" spans="1:23" x14ac:dyDescent="0.35">
      <c r="A5" s="80"/>
      <c r="B5" s="81"/>
      <c r="C5" s="81"/>
      <c r="D5" s="82"/>
      <c r="E5" s="83"/>
      <c r="F5" s="84"/>
      <c r="G5" s="84"/>
      <c r="I5" s="80"/>
      <c r="J5" s="81"/>
      <c r="K5" s="81"/>
      <c r="L5" s="82"/>
      <c r="M5" s="83"/>
      <c r="N5" s="84"/>
      <c r="O5" s="84"/>
      <c r="Q5" s="80"/>
      <c r="R5" s="81"/>
      <c r="S5" s="81"/>
      <c r="T5" s="82"/>
      <c r="U5" s="83"/>
      <c r="V5" s="84"/>
      <c r="W5" s="84"/>
    </row>
    <row r="6" spans="1:23" x14ac:dyDescent="0.35">
      <c r="A6" s="80"/>
      <c r="B6" s="81"/>
      <c r="C6" s="81"/>
      <c r="D6" s="82"/>
      <c r="E6" s="83"/>
      <c r="F6" s="84"/>
      <c r="G6" s="84"/>
      <c r="I6" s="80"/>
      <c r="J6" s="81"/>
      <c r="K6" s="81"/>
      <c r="L6" s="82"/>
      <c r="M6" s="83"/>
      <c r="N6" s="84"/>
      <c r="O6" s="84"/>
      <c r="Q6" s="80"/>
      <c r="R6" s="81"/>
      <c r="S6" s="81"/>
      <c r="T6" s="82"/>
      <c r="U6" s="83"/>
      <c r="V6" s="84"/>
      <c r="W6" s="84"/>
    </row>
    <row r="7" spans="1:23" x14ac:dyDescent="0.35">
      <c r="A7" s="80"/>
      <c r="B7" s="81"/>
      <c r="C7" s="81"/>
      <c r="D7" s="82"/>
      <c r="E7" s="83"/>
      <c r="F7" s="84"/>
      <c r="G7" s="84"/>
      <c r="I7" s="80"/>
      <c r="J7" s="81"/>
      <c r="K7" s="81"/>
      <c r="L7" s="82"/>
      <c r="M7" s="83"/>
      <c r="N7" s="84"/>
      <c r="O7" s="84"/>
      <c r="Q7" s="80"/>
      <c r="R7" s="81"/>
      <c r="S7" s="81"/>
      <c r="T7" s="82"/>
      <c r="U7" s="83"/>
      <c r="V7" s="84"/>
      <c r="W7" s="84"/>
    </row>
    <row r="8" spans="1:23" x14ac:dyDescent="0.35">
      <c r="A8" s="80"/>
      <c r="B8" s="81"/>
      <c r="C8" s="81"/>
      <c r="D8" s="82"/>
      <c r="E8" s="83"/>
      <c r="F8" s="84"/>
      <c r="G8" s="84"/>
      <c r="I8" s="80"/>
      <c r="J8" s="81"/>
      <c r="K8" s="81"/>
      <c r="L8" s="82"/>
      <c r="M8" s="83"/>
      <c r="N8" s="84"/>
      <c r="O8" s="84"/>
      <c r="Q8" s="80"/>
      <c r="R8" s="81"/>
      <c r="S8" s="81"/>
      <c r="T8" s="82"/>
      <c r="U8" s="83"/>
      <c r="V8" s="84"/>
      <c r="W8" s="84"/>
    </row>
    <row r="9" spans="1:23" x14ac:dyDescent="0.35">
      <c r="A9" s="80"/>
      <c r="B9" s="81"/>
      <c r="C9" s="81"/>
      <c r="D9" s="82"/>
      <c r="E9" s="83"/>
      <c r="F9" s="84"/>
      <c r="G9" s="84"/>
      <c r="I9" s="80"/>
      <c r="J9" s="81"/>
      <c r="K9" s="81"/>
      <c r="L9" s="82"/>
      <c r="M9" s="83"/>
      <c r="N9" s="84"/>
      <c r="O9" s="84"/>
      <c r="Q9" s="80"/>
      <c r="R9" s="81"/>
      <c r="S9" s="81"/>
      <c r="T9" s="82"/>
      <c r="U9" s="83"/>
      <c r="V9" s="84"/>
      <c r="W9" s="84"/>
    </row>
    <row r="10" spans="1:23" x14ac:dyDescent="0.35">
      <c r="A10" s="80"/>
      <c r="B10" s="81"/>
      <c r="C10" s="81"/>
      <c r="D10" s="82"/>
      <c r="E10" s="83"/>
      <c r="F10" s="84"/>
      <c r="G10" s="84"/>
      <c r="I10" s="80"/>
      <c r="J10" s="81"/>
      <c r="K10" s="81"/>
      <c r="L10" s="82"/>
      <c r="M10" s="83"/>
      <c r="N10" s="84"/>
      <c r="O10" s="84"/>
      <c r="Q10" s="80"/>
      <c r="R10" s="81"/>
      <c r="S10" s="81"/>
      <c r="T10" s="82"/>
      <c r="U10" s="83"/>
      <c r="V10" s="84"/>
      <c r="W10" s="84"/>
    </row>
    <row r="11" spans="1:23" x14ac:dyDescent="0.35">
      <c r="A11" s="80"/>
      <c r="B11" s="81"/>
      <c r="C11" s="81"/>
      <c r="D11" s="82"/>
      <c r="E11" s="83"/>
      <c r="F11" s="84"/>
      <c r="G11" s="84"/>
      <c r="I11" s="80"/>
      <c r="J11" s="81"/>
      <c r="K11" s="81"/>
      <c r="L11" s="82"/>
      <c r="M11" s="83"/>
      <c r="N11" s="84"/>
      <c r="O11" s="84"/>
      <c r="Q11" s="80"/>
      <c r="R11" s="81"/>
      <c r="S11" s="81"/>
      <c r="T11" s="82"/>
      <c r="U11" s="83"/>
      <c r="V11" s="84"/>
      <c r="W11" s="84"/>
    </row>
    <row r="12" spans="1:23" x14ac:dyDescent="0.35">
      <c r="A12" s="80"/>
      <c r="B12" s="81"/>
      <c r="C12" s="81"/>
      <c r="D12" s="82"/>
      <c r="E12" s="83"/>
      <c r="F12" s="84"/>
      <c r="G12" s="84"/>
      <c r="I12" s="80"/>
      <c r="J12" s="81"/>
      <c r="K12" s="81"/>
      <c r="L12" s="82"/>
      <c r="M12" s="83"/>
      <c r="N12" s="84"/>
      <c r="O12" s="84"/>
      <c r="Q12" s="80"/>
      <c r="R12" s="81"/>
      <c r="S12" s="81"/>
      <c r="T12" s="82"/>
      <c r="U12" s="83"/>
      <c r="V12" s="84"/>
      <c r="W12" s="84"/>
    </row>
    <row r="13" spans="1:23" x14ac:dyDescent="0.35">
      <c r="A13" s="80"/>
      <c r="B13" s="81"/>
      <c r="C13" s="81"/>
      <c r="D13" s="82"/>
      <c r="E13" s="83"/>
      <c r="F13" s="84"/>
      <c r="G13" s="84"/>
      <c r="I13" s="80"/>
      <c r="J13" s="81"/>
      <c r="K13" s="81"/>
      <c r="L13" s="82"/>
      <c r="M13" s="83"/>
      <c r="N13" s="84"/>
      <c r="O13" s="84"/>
      <c r="Q13" s="80"/>
      <c r="R13" s="81"/>
      <c r="S13" s="81"/>
      <c r="T13" s="82"/>
      <c r="U13" s="83"/>
      <c r="V13" s="84"/>
      <c r="W13" s="84"/>
    </row>
    <row r="14" spans="1:23" x14ac:dyDescent="0.35">
      <c r="A14" s="80"/>
      <c r="B14" s="81"/>
      <c r="C14" s="81"/>
      <c r="D14" s="82"/>
      <c r="E14" s="83"/>
      <c r="F14" s="84"/>
      <c r="G14" s="84"/>
      <c r="I14" s="80"/>
      <c r="J14" s="81"/>
      <c r="K14" s="81"/>
      <c r="L14" s="82"/>
      <c r="M14" s="83"/>
      <c r="N14" s="84"/>
      <c r="O14" s="84"/>
      <c r="Q14" s="80"/>
      <c r="R14" s="81"/>
      <c r="S14" s="81"/>
      <c r="T14" s="82"/>
      <c r="U14" s="83"/>
      <c r="V14" s="84"/>
      <c r="W14" s="84"/>
    </row>
    <row r="15" spans="1:23" x14ac:dyDescent="0.35">
      <c r="A15" s="80"/>
      <c r="B15" s="81"/>
      <c r="C15" s="81"/>
      <c r="D15" s="82"/>
      <c r="E15" s="83"/>
      <c r="F15" s="84"/>
      <c r="G15" s="84"/>
      <c r="I15" s="80"/>
      <c r="J15" s="81"/>
      <c r="K15" s="81"/>
      <c r="L15" s="82"/>
      <c r="M15" s="83"/>
      <c r="N15" s="84"/>
      <c r="O15" s="84"/>
      <c r="Q15" s="80"/>
      <c r="R15" s="81"/>
      <c r="S15" s="81"/>
      <c r="T15" s="82"/>
      <c r="U15" s="83"/>
      <c r="V15" s="84"/>
      <c r="W15" s="84"/>
    </row>
    <row r="16" spans="1:23" x14ac:dyDescent="0.35">
      <c r="A16" s="80"/>
      <c r="B16" s="81"/>
      <c r="C16" s="81"/>
      <c r="D16" s="82"/>
      <c r="E16" s="83"/>
      <c r="F16" s="84"/>
      <c r="G16" s="84"/>
      <c r="I16" s="80"/>
      <c r="J16" s="81"/>
      <c r="K16" s="81"/>
      <c r="L16" s="82"/>
      <c r="M16" s="83"/>
      <c r="N16" s="84"/>
      <c r="O16" s="84"/>
      <c r="Q16" s="80"/>
      <c r="R16" s="81"/>
      <c r="S16" s="81"/>
      <c r="T16" s="82"/>
      <c r="U16" s="83"/>
      <c r="V16" s="84"/>
      <c r="W16" s="84"/>
    </row>
    <row r="17" spans="1:23" x14ac:dyDescent="0.35">
      <c r="A17" s="80"/>
      <c r="B17" s="81"/>
      <c r="C17" s="81"/>
      <c r="D17" s="82"/>
      <c r="E17" s="83"/>
      <c r="F17" s="84"/>
      <c r="G17" s="84"/>
      <c r="I17" s="80"/>
      <c r="J17" s="81"/>
      <c r="K17" s="81"/>
      <c r="L17" s="82"/>
      <c r="M17" s="83"/>
      <c r="N17" s="84"/>
      <c r="O17" s="84"/>
      <c r="Q17" s="80"/>
      <c r="R17" s="81"/>
      <c r="S17" s="81"/>
      <c r="T17" s="82"/>
      <c r="U17" s="83"/>
      <c r="V17" s="84"/>
      <c r="W17" s="84"/>
    </row>
    <row r="18" spans="1:23" x14ac:dyDescent="0.35">
      <c r="A18" s="80"/>
      <c r="B18" s="81"/>
      <c r="C18" s="81"/>
      <c r="D18" s="82"/>
      <c r="E18" s="83"/>
      <c r="F18" s="84"/>
      <c r="G18" s="84"/>
      <c r="I18" s="80"/>
      <c r="J18" s="81"/>
      <c r="K18" s="81"/>
      <c r="L18" s="82"/>
      <c r="M18" s="83"/>
      <c r="N18" s="84"/>
      <c r="O18" s="84"/>
      <c r="Q18" s="80"/>
      <c r="R18" s="81"/>
      <c r="S18" s="81"/>
      <c r="T18" s="82"/>
      <c r="U18" s="83"/>
      <c r="V18" s="84"/>
      <c r="W18" s="84"/>
    </row>
    <row r="19" spans="1:23" x14ac:dyDescent="0.35">
      <c r="A19" s="80"/>
      <c r="B19" s="81"/>
      <c r="C19" s="81"/>
      <c r="D19" s="82"/>
      <c r="E19" s="83"/>
      <c r="F19" s="84"/>
      <c r="G19" s="84"/>
      <c r="I19" s="80"/>
      <c r="J19" s="81"/>
      <c r="K19" s="81"/>
      <c r="L19" s="82"/>
      <c r="M19" s="83"/>
      <c r="N19" s="84"/>
      <c r="O19" s="84"/>
      <c r="Q19" s="80"/>
      <c r="R19" s="81"/>
      <c r="S19" s="81"/>
      <c r="T19" s="82"/>
      <c r="U19" s="83"/>
      <c r="V19" s="84"/>
      <c r="W19" s="84"/>
    </row>
    <row r="20" spans="1:23" x14ac:dyDescent="0.35">
      <c r="A20" s="80"/>
      <c r="B20" s="81"/>
      <c r="C20" s="81"/>
      <c r="D20" s="82"/>
      <c r="E20" s="83"/>
      <c r="F20" s="84"/>
      <c r="G20" s="84"/>
      <c r="I20" s="80"/>
      <c r="J20" s="81"/>
      <c r="K20" s="81"/>
      <c r="L20" s="82"/>
      <c r="M20" s="83"/>
      <c r="N20" s="84"/>
      <c r="O20" s="84"/>
      <c r="Q20" s="80"/>
      <c r="R20" s="81"/>
      <c r="S20" s="81"/>
      <c r="T20" s="82"/>
      <c r="U20" s="83"/>
      <c r="V20" s="84"/>
      <c r="W20" s="84"/>
    </row>
    <row r="21" spans="1:23" x14ac:dyDescent="0.35">
      <c r="A21" s="80"/>
      <c r="B21" s="81"/>
      <c r="C21" s="81"/>
      <c r="D21" s="82"/>
      <c r="E21" s="83"/>
      <c r="F21" s="84"/>
      <c r="G21" s="84"/>
      <c r="I21" s="80"/>
      <c r="J21" s="81"/>
      <c r="K21" s="81"/>
      <c r="L21" s="82"/>
      <c r="M21" s="83"/>
      <c r="N21" s="84"/>
      <c r="O21" s="84"/>
      <c r="Q21" s="80"/>
      <c r="R21" s="81"/>
      <c r="S21" s="81"/>
      <c r="T21" s="82"/>
      <c r="U21" s="83"/>
      <c r="V21" s="84"/>
      <c r="W21" s="84"/>
    </row>
    <row r="22" spans="1:23" x14ac:dyDescent="0.35">
      <c r="A22" s="80"/>
      <c r="B22" s="81"/>
      <c r="C22" s="81"/>
      <c r="D22" s="82"/>
      <c r="E22" s="83"/>
      <c r="F22" s="84"/>
      <c r="G22" s="84"/>
      <c r="I22" s="80"/>
      <c r="J22" s="81"/>
      <c r="K22" s="81"/>
      <c r="L22" s="82"/>
      <c r="M22" s="83"/>
      <c r="N22" s="84"/>
      <c r="O22" s="84"/>
      <c r="Q22" s="80"/>
      <c r="R22" s="81"/>
      <c r="S22" s="81"/>
      <c r="T22" s="82"/>
      <c r="U22" s="83"/>
      <c r="V22" s="84"/>
      <c r="W22" s="84"/>
    </row>
    <row r="23" spans="1:23" x14ac:dyDescent="0.35">
      <c r="A23" s="80"/>
      <c r="B23" s="81"/>
      <c r="C23" s="81"/>
      <c r="D23" s="82"/>
      <c r="E23" s="83"/>
      <c r="F23" s="84"/>
      <c r="G23" s="84"/>
      <c r="I23" s="80"/>
      <c r="J23" s="81"/>
      <c r="K23" s="81"/>
      <c r="L23" s="82"/>
      <c r="M23" s="83"/>
      <c r="N23" s="84"/>
      <c r="O23" s="84"/>
      <c r="Q23" s="80"/>
      <c r="R23" s="81"/>
      <c r="S23" s="81"/>
      <c r="T23" s="82"/>
      <c r="U23" s="83"/>
      <c r="V23" s="84"/>
      <c r="W23" s="84"/>
    </row>
    <row r="24" spans="1:23" x14ac:dyDescent="0.35">
      <c r="A24" s="80"/>
      <c r="B24" s="81"/>
      <c r="C24" s="81"/>
      <c r="D24" s="82"/>
      <c r="E24" s="83"/>
      <c r="F24" s="84"/>
      <c r="G24" s="84"/>
      <c r="I24" s="80"/>
      <c r="J24" s="81"/>
      <c r="K24" s="81"/>
      <c r="L24" s="82"/>
      <c r="M24" s="83"/>
      <c r="N24" s="84"/>
      <c r="O24" s="84"/>
      <c r="Q24" s="80"/>
      <c r="R24" s="81"/>
      <c r="S24" s="81"/>
      <c r="T24" s="82"/>
      <c r="U24" s="83"/>
      <c r="V24" s="84"/>
      <c r="W24" s="84"/>
    </row>
    <row r="25" spans="1:23" x14ac:dyDescent="0.35">
      <c r="A25" s="80"/>
      <c r="B25" s="81"/>
      <c r="C25" s="81"/>
      <c r="D25" s="82"/>
      <c r="E25" s="83"/>
      <c r="F25" s="84"/>
      <c r="G25" s="84"/>
      <c r="I25" s="80"/>
      <c r="J25" s="81"/>
      <c r="K25" s="81"/>
      <c r="L25" s="82"/>
      <c r="M25" s="83"/>
      <c r="N25" s="84"/>
      <c r="O25" s="84"/>
      <c r="Q25" s="80"/>
      <c r="R25" s="81"/>
      <c r="S25" s="81"/>
      <c r="T25" s="82"/>
      <c r="U25" s="83"/>
      <c r="V25" s="84"/>
      <c r="W25" s="84"/>
    </row>
    <row r="26" spans="1:23" x14ac:dyDescent="0.35">
      <c r="A26" s="80"/>
      <c r="B26" s="81"/>
      <c r="C26" s="81"/>
      <c r="D26" s="82"/>
      <c r="E26" s="83"/>
      <c r="F26" s="84"/>
      <c r="G26" s="84"/>
      <c r="I26" s="80"/>
      <c r="J26" s="81"/>
      <c r="K26" s="81"/>
      <c r="L26" s="82"/>
      <c r="M26" s="83"/>
      <c r="N26" s="84"/>
      <c r="O26" s="84"/>
      <c r="Q26" s="80"/>
      <c r="R26" s="81"/>
      <c r="S26" s="81"/>
      <c r="T26" s="82"/>
      <c r="U26" s="83"/>
      <c r="V26" s="84"/>
      <c r="W26" s="84"/>
    </row>
    <row r="27" spans="1:23" x14ac:dyDescent="0.35">
      <c r="A27" s="80"/>
      <c r="B27" s="81"/>
      <c r="C27" s="81"/>
      <c r="D27" s="82"/>
      <c r="E27" s="83"/>
      <c r="F27" s="84"/>
      <c r="G27" s="84"/>
      <c r="I27" s="80"/>
      <c r="J27" s="81"/>
      <c r="K27" s="81"/>
      <c r="L27" s="82"/>
      <c r="M27" s="83"/>
      <c r="N27" s="84"/>
      <c r="O27" s="84"/>
      <c r="Q27" s="80"/>
      <c r="R27" s="81"/>
      <c r="S27" s="81"/>
      <c r="T27" s="82"/>
      <c r="U27" s="83"/>
      <c r="V27" s="84"/>
      <c r="W27" s="84"/>
    </row>
    <row r="28" spans="1:23" x14ac:dyDescent="0.35">
      <c r="A28" s="80"/>
      <c r="B28" s="81"/>
      <c r="C28" s="81"/>
      <c r="D28" s="82"/>
      <c r="E28" s="83"/>
      <c r="F28" s="84"/>
      <c r="G28" s="84"/>
      <c r="I28" s="80"/>
      <c r="J28" s="81"/>
      <c r="K28" s="81"/>
      <c r="L28" s="82"/>
      <c r="M28" s="83"/>
      <c r="N28" s="84"/>
      <c r="O28" s="84"/>
      <c r="Q28" s="80"/>
      <c r="R28" s="81"/>
      <c r="S28" s="81"/>
      <c r="T28" s="82"/>
      <c r="U28" s="83"/>
      <c r="V28" s="84"/>
      <c r="W28" s="84"/>
    </row>
    <row r="29" spans="1:23" x14ac:dyDescent="0.35">
      <c r="A29" s="80"/>
      <c r="B29" s="81"/>
      <c r="C29" s="81"/>
      <c r="D29" s="82"/>
      <c r="E29" s="83"/>
      <c r="F29" s="84"/>
      <c r="G29" s="84"/>
      <c r="I29" s="80"/>
      <c r="J29" s="81"/>
      <c r="K29" s="81"/>
      <c r="L29" s="82"/>
      <c r="M29" s="83"/>
      <c r="N29" s="84"/>
      <c r="O29" s="84"/>
      <c r="Q29" s="80"/>
      <c r="R29" s="81"/>
      <c r="S29" s="81"/>
      <c r="T29" s="82"/>
      <c r="U29" s="83"/>
      <c r="V29" s="84"/>
      <c r="W29" s="84"/>
    </row>
    <row r="30" spans="1:23" x14ac:dyDescent="0.35">
      <c r="A30" s="80"/>
      <c r="B30" s="81"/>
      <c r="C30" s="81"/>
      <c r="D30" s="82"/>
      <c r="E30" s="83"/>
      <c r="F30" s="84"/>
      <c r="G30" s="84"/>
      <c r="I30" s="80"/>
      <c r="J30" s="81"/>
      <c r="K30" s="81"/>
      <c r="L30" s="82"/>
      <c r="M30" s="83"/>
      <c r="N30" s="84"/>
      <c r="O30" s="84"/>
      <c r="Q30" s="80"/>
      <c r="R30" s="81"/>
      <c r="S30" s="81"/>
      <c r="T30" s="82"/>
      <c r="U30" s="83"/>
      <c r="V30" s="84"/>
      <c r="W30" s="84"/>
    </row>
    <row r="31" spans="1:23" x14ac:dyDescent="0.35">
      <c r="A31" s="80"/>
      <c r="B31" s="81"/>
      <c r="C31" s="81"/>
      <c r="D31" s="82"/>
      <c r="E31" s="83"/>
      <c r="F31" s="84"/>
      <c r="G31" s="84"/>
      <c r="I31" s="80"/>
      <c r="J31" s="81"/>
      <c r="K31" s="81"/>
      <c r="L31" s="82"/>
      <c r="M31" s="83"/>
      <c r="N31" s="84"/>
      <c r="O31" s="84"/>
      <c r="Q31" s="80"/>
      <c r="R31" s="81"/>
      <c r="S31" s="81"/>
      <c r="T31" s="82"/>
      <c r="U31" s="83"/>
      <c r="V31" s="84"/>
      <c r="W31" s="84"/>
    </row>
    <row r="32" spans="1:23" x14ac:dyDescent="0.35">
      <c r="A32" s="80"/>
      <c r="B32" s="81"/>
      <c r="C32" s="81"/>
      <c r="D32" s="82"/>
      <c r="E32" s="83"/>
      <c r="F32" s="84"/>
      <c r="G32" s="84"/>
      <c r="I32" s="80"/>
      <c r="J32" s="81"/>
      <c r="K32" s="81"/>
      <c r="L32" s="82"/>
      <c r="M32" s="83"/>
      <c r="N32" s="84"/>
      <c r="O32" s="84"/>
      <c r="Q32" s="80"/>
      <c r="R32" s="81"/>
      <c r="S32" s="81"/>
      <c r="T32" s="82"/>
      <c r="U32" s="83"/>
      <c r="V32" s="84"/>
      <c r="W32" s="84"/>
    </row>
    <row r="33" spans="1:15" x14ac:dyDescent="0.35">
      <c r="A33" s="80"/>
      <c r="B33" s="81"/>
      <c r="C33" s="81"/>
      <c r="D33" s="82"/>
      <c r="E33" s="83"/>
      <c r="F33" s="84"/>
      <c r="G33" s="84"/>
      <c r="I33" s="80"/>
      <c r="J33" s="81"/>
      <c r="K33" s="81"/>
      <c r="L33" s="82"/>
      <c r="M33" s="83"/>
      <c r="N33" s="84"/>
      <c r="O33" s="84"/>
    </row>
    <row r="34" spans="1:15" x14ac:dyDescent="0.35">
      <c r="A34" s="80"/>
      <c r="B34" s="81"/>
      <c r="C34" s="81"/>
      <c r="D34" s="82"/>
      <c r="E34" s="83"/>
      <c r="F34" s="84"/>
      <c r="G34" s="84"/>
      <c r="I34" s="80"/>
      <c r="J34" s="81"/>
      <c r="K34" s="81"/>
      <c r="L34" s="82"/>
      <c r="M34" s="83"/>
      <c r="N34" s="84"/>
      <c r="O34" s="84"/>
    </row>
    <row r="35" spans="1:15" x14ac:dyDescent="0.35">
      <c r="A35" s="80"/>
      <c r="B35" s="81"/>
      <c r="C35" s="81"/>
      <c r="D35" s="82"/>
      <c r="E35" s="83"/>
      <c r="F35" s="84"/>
      <c r="G35" s="84"/>
      <c r="I35" s="80"/>
      <c r="J35" s="81"/>
      <c r="K35" s="81"/>
      <c r="L35" s="82"/>
      <c r="M35" s="83"/>
      <c r="N35" s="84"/>
      <c r="O35" s="84"/>
    </row>
    <row r="36" spans="1:15" x14ac:dyDescent="0.35">
      <c r="A36" s="80"/>
      <c r="B36" s="81"/>
      <c r="C36" s="81"/>
      <c r="D36" s="82"/>
      <c r="E36" s="83"/>
      <c r="F36" s="84"/>
      <c r="G36" s="84"/>
      <c r="I36" s="80"/>
      <c r="J36" s="81"/>
      <c r="K36" s="81"/>
      <c r="L36" s="82"/>
      <c r="M36" s="83"/>
      <c r="N36" s="84"/>
      <c r="O36" s="84"/>
    </row>
    <row r="37" spans="1:15" x14ac:dyDescent="0.35">
      <c r="A37" s="80"/>
      <c r="B37" s="81"/>
      <c r="C37" s="81"/>
      <c r="D37" s="82"/>
      <c r="E37" s="83"/>
      <c r="F37" s="84"/>
      <c r="G37" s="84"/>
      <c r="I37" s="80"/>
      <c r="J37" s="81"/>
      <c r="K37" s="81"/>
      <c r="L37" s="82"/>
      <c r="M37" s="83"/>
      <c r="N37" s="84"/>
      <c r="O37" s="84"/>
    </row>
    <row r="38" spans="1:15" x14ac:dyDescent="0.35">
      <c r="A38" s="80"/>
      <c r="B38" s="81"/>
      <c r="C38" s="81"/>
      <c r="D38" s="82"/>
      <c r="E38" s="83"/>
      <c r="F38" s="84"/>
      <c r="G38" s="84"/>
      <c r="I38" s="80"/>
      <c r="J38" s="81"/>
      <c r="K38" s="81"/>
      <c r="L38" s="82"/>
      <c r="M38" s="83"/>
      <c r="N38" s="84"/>
      <c r="O38" s="84"/>
    </row>
    <row r="39" spans="1:15" x14ac:dyDescent="0.35">
      <c r="A39" s="80"/>
      <c r="B39" s="81"/>
      <c r="C39" s="81"/>
      <c r="D39" s="82"/>
      <c r="E39" s="83"/>
      <c r="F39" s="84"/>
      <c r="G39" s="84"/>
      <c r="I39" s="80"/>
      <c r="J39" s="81"/>
      <c r="K39" s="81"/>
      <c r="L39" s="82"/>
      <c r="M39" s="83"/>
      <c r="N39" s="84"/>
      <c r="O39" s="84"/>
    </row>
    <row r="40" spans="1:15" x14ac:dyDescent="0.35">
      <c r="A40" s="80"/>
      <c r="B40" s="81"/>
      <c r="C40" s="81"/>
      <c r="D40" s="82"/>
      <c r="E40" s="83"/>
      <c r="F40" s="84"/>
      <c r="G40" s="84"/>
      <c r="I40" s="80"/>
      <c r="J40" s="81"/>
      <c r="K40" s="81"/>
      <c r="L40" s="82"/>
      <c r="M40" s="83"/>
      <c r="N40" s="84"/>
      <c r="O40" s="84"/>
    </row>
    <row r="41" spans="1:15" x14ac:dyDescent="0.35">
      <c r="A41" s="80"/>
      <c r="B41" s="81"/>
      <c r="C41" s="81"/>
      <c r="D41" s="82"/>
      <c r="E41" s="83"/>
      <c r="F41" s="84"/>
      <c r="G41" s="84"/>
      <c r="I41" s="80"/>
      <c r="J41" s="81"/>
      <c r="K41" s="81"/>
      <c r="L41" s="82"/>
      <c r="M41" s="83"/>
      <c r="N41" s="84"/>
      <c r="O41" s="84"/>
    </row>
    <row r="42" spans="1:15" x14ac:dyDescent="0.35">
      <c r="A42" s="80"/>
      <c r="B42" s="81"/>
      <c r="C42" s="81"/>
      <c r="D42" s="82"/>
      <c r="E42" s="83"/>
      <c r="F42" s="84"/>
      <c r="G42" s="84"/>
      <c r="I42" s="80"/>
      <c r="J42" s="81"/>
      <c r="K42" s="81"/>
      <c r="L42" s="82"/>
      <c r="M42" s="83"/>
      <c r="N42" s="84"/>
      <c r="O42" s="84"/>
    </row>
    <row r="43" spans="1:15" x14ac:dyDescent="0.35">
      <c r="A43" s="80"/>
      <c r="B43" s="81"/>
      <c r="C43" s="81"/>
      <c r="D43" s="82"/>
      <c r="E43" s="83"/>
      <c r="F43" s="84"/>
      <c r="G43" s="84"/>
      <c r="I43" s="80"/>
      <c r="J43" s="81"/>
      <c r="K43" s="81"/>
      <c r="L43" s="82"/>
      <c r="M43" s="83"/>
      <c r="N43" s="84"/>
      <c r="O43" s="84"/>
    </row>
    <row r="44" spans="1:15" x14ac:dyDescent="0.35">
      <c r="A44" s="80"/>
      <c r="B44" s="81"/>
      <c r="C44" s="81"/>
      <c r="D44" s="82"/>
      <c r="E44" s="83"/>
      <c r="F44" s="84"/>
      <c r="G44" s="84"/>
      <c r="I44" s="80"/>
      <c r="J44" s="81"/>
      <c r="K44" s="81"/>
      <c r="L44" s="82"/>
      <c r="M44" s="83"/>
      <c r="N44" s="84"/>
      <c r="O44" s="84"/>
    </row>
    <row r="45" spans="1:15" x14ac:dyDescent="0.35">
      <c r="A45" s="80"/>
      <c r="B45" s="81"/>
      <c r="C45" s="81"/>
      <c r="D45" s="82"/>
      <c r="E45" s="83"/>
      <c r="F45" s="84"/>
      <c r="G45" s="84"/>
      <c r="I45" s="80"/>
      <c r="J45" s="81"/>
      <c r="K45" s="81"/>
      <c r="L45" s="82"/>
      <c r="M45" s="83"/>
      <c r="N45" s="84"/>
      <c r="O45" s="84"/>
    </row>
    <row r="46" spans="1:15" x14ac:dyDescent="0.35">
      <c r="A46" s="80"/>
      <c r="B46" s="81"/>
      <c r="C46" s="81"/>
      <c r="D46" s="82"/>
      <c r="E46" s="83"/>
      <c r="F46" s="84"/>
      <c r="G46" s="84"/>
      <c r="I46" s="80"/>
      <c r="J46" s="81"/>
      <c r="K46" s="81"/>
      <c r="L46" s="82"/>
      <c r="M46" s="83"/>
      <c r="N46" s="84"/>
      <c r="O46" s="84"/>
    </row>
    <row r="47" spans="1:15" x14ac:dyDescent="0.35">
      <c r="A47" s="80"/>
      <c r="B47" s="81"/>
      <c r="C47" s="81"/>
      <c r="D47" s="82"/>
      <c r="E47" s="83"/>
      <c r="F47" s="84"/>
      <c r="G47" s="84"/>
      <c r="I47" s="80"/>
      <c r="J47" s="81"/>
      <c r="K47" s="81"/>
      <c r="L47" s="82"/>
      <c r="M47" s="83"/>
      <c r="N47" s="84"/>
      <c r="O47" s="84"/>
    </row>
    <row r="48" spans="1:15" x14ac:dyDescent="0.35">
      <c r="A48" s="80"/>
      <c r="B48" s="81"/>
      <c r="C48" s="81"/>
      <c r="D48" s="82"/>
      <c r="E48" s="83"/>
      <c r="F48" s="84"/>
      <c r="G48" s="84"/>
      <c r="I48" s="80"/>
      <c r="J48" s="81"/>
      <c r="K48" s="81"/>
      <c r="L48" s="82"/>
      <c r="M48" s="83"/>
      <c r="N48" s="84"/>
      <c r="O48" s="84"/>
    </row>
    <row r="49" spans="1:15" x14ac:dyDescent="0.35">
      <c r="A49" s="80"/>
      <c r="B49" s="81"/>
      <c r="C49" s="81"/>
      <c r="D49" s="82"/>
      <c r="E49" s="83"/>
      <c r="F49" s="84"/>
      <c r="G49" s="84"/>
      <c r="I49" s="80"/>
      <c r="J49" s="81"/>
      <c r="K49" s="81"/>
      <c r="L49" s="82"/>
      <c r="M49" s="83"/>
      <c r="N49" s="84"/>
      <c r="O49" s="84"/>
    </row>
    <row r="50" spans="1:15" x14ac:dyDescent="0.35">
      <c r="A50" s="80"/>
      <c r="B50" s="81"/>
      <c r="C50" s="81"/>
      <c r="D50" s="82"/>
      <c r="E50" s="83"/>
      <c r="F50" s="84"/>
      <c r="G50" s="84"/>
      <c r="I50" s="80"/>
      <c r="J50" s="81"/>
      <c r="K50" s="81"/>
      <c r="L50" s="82"/>
      <c r="M50" s="83"/>
      <c r="N50" s="84"/>
      <c r="O50" s="84"/>
    </row>
    <row r="51" spans="1:15" x14ac:dyDescent="0.35">
      <c r="A51" s="80"/>
      <c r="B51" s="81"/>
      <c r="C51" s="81"/>
      <c r="D51" s="82"/>
      <c r="E51" s="83"/>
      <c r="F51" s="84"/>
      <c r="G51" s="84"/>
      <c r="I51" s="80"/>
      <c r="J51" s="81"/>
      <c r="K51" s="81"/>
      <c r="L51" s="82"/>
      <c r="M51" s="83"/>
      <c r="N51" s="84"/>
      <c r="O51" s="84"/>
    </row>
    <row r="52" spans="1:15" x14ac:dyDescent="0.35">
      <c r="A52" s="80"/>
      <c r="B52" s="81"/>
      <c r="C52" s="81"/>
      <c r="D52" s="82"/>
      <c r="E52" s="83"/>
      <c r="F52" s="84"/>
      <c r="G52" s="84"/>
      <c r="I52" s="80"/>
      <c r="J52" s="81"/>
      <c r="K52" s="81"/>
      <c r="L52" s="82"/>
      <c r="M52" s="83"/>
      <c r="N52" s="84"/>
      <c r="O52" s="84"/>
    </row>
    <row r="53" spans="1:15" x14ac:dyDescent="0.35">
      <c r="A53" s="80"/>
      <c r="B53" s="81"/>
      <c r="C53" s="81"/>
      <c r="D53" s="82"/>
      <c r="E53" s="83"/>
      <c r="F53" s="84"/>
      <c r="G53" s="84"/>
      <c r="I53" s="80"/>
      <c r="J53" s="81"/>
      <c r="K53" s="81"/>
      <c r="L53" s="82"/>
      <c r="M53" s="83"/>
      <c r="N53" s="84"/>
      <c r="O53" s="84"/>
    </row>
    <row r="54" spans="1:15" x14ac:dyDescent="0.35">
      <c r="A54" s="80"/>
      <c r="B54" s="81"/>
      <c r="C54" s="81"/>
      <c r="D54" s="82"/>
      <c r="E54" s="83"/>
      <c r="F54" s="84"/>
      <c r="G54" s="84"/>
      <c r="I54" s="80"/>
      <c r="J54" s="81"/>
      <c r="K54" s="81"/>
      <c r="L54" s="82"/>
      <c r="M54" s="83"/>
      <c r="N54" s="84"/>
      <c r="O54" s="84"/>
    </row>
    <row r="55" spans="1:15" x14ac:dyDescent="0.35">
      <c r="A55" s="80"/>
      <c r="B55" s="81"/>
      <c r="C55" s="81"/>
      <c r="D55" s="82"/>
      <c r="E55" s="83"/>
      <c r="F55" s="84"/>
      <c r="G55" s="84"/>
      <c r="I55" s="80"/>
      <c r="J55" s="81"/>
      <c r="K55" s="81"/>
      <c r="L55" s="82"/>
      <c r="M55" s="83"/>
      <c r="N55" s="84"/>
      <c r="O55" s="84"/>
    </row>
    <row r="56" spans="1:15" x14ac:dyDescent="0.35">
      <c r="A56" s="80"/>
      <c r="B56" s="81"/>
      <c r="C56" s="81"/>
      <c r="D56" s="82"/>
      <c r="E56" s="83"/>
      <c r="F56" s="84"/>
      <c r="G56" s="84"/>
      <c r="I56" s="80"/>
      <c r="J56" s="81"/>
      <c r="K56" s="81"/>
      <c r="L56" s="82"/>
      <c r="M56" s="83"/>
      <c r="N56" s="84"/>
      <c r="O56" s="84"/>
    </row>
    <row r="57" spans="1:15" x14ac:dyDescent="0.35">
      <c r="A57" s="80"/>
      <c r="B57" s="81"/>
      <c r="C57" s="81"/>
      <c r="D57" s="82"/>
      <c r="E57" s="83"/>
      <c r="F57" s="84"/>
      <c r="G57" s="84"/>
      <c r="I57" s="80"/>
      <c r="J57" s="81"/>
      <c r="K57" s="81"/>
      <c r="L57" s="82"/>
      <c r="M57" s="83"/>
      <c r="N57" s="84"/>
      <c r="O57" s="84"/>
    </row>
    <row r="58" spans="1:15" x14ac:dyDescent="0.35">
      <c r="A58" s="80"/>
      <c r="B58" s="81"/>
      <c r="C58" s="81"/>
      <c r="D58" s="82"/>
      <c r="E58" s="83"/>
      <c r="F58" s="84"/>
      <c r="G58" s="84"/>
      <c r="I58" s="80"/>
      <c r="J58" s="81"/>
      <c r="K58" s="81"/>
      <c r="L58" s="82"/>
      <c r="M58" s="83"/>
      <c r="N58" s="84"/>
      <c r="O58" s="84"/>
    </row>
    <row r="59" spans="1:15" x14ac:dyDescent="0.35">
      <c r="A59" s="80"/>
      <c r="B59" s="81"/>
      <c r="C59" s="81"/>
      <c r="D59" s="82"/>
      <c r="E59" s="83"/>
      <c r="F59" s="84"/>
      <c r="G59" s="84"/>
      <c r="I59" s="80"/>
      <c r="J59" s="81"/>
      <c r="K59" s="81"/>
      <c r="L59" s="82"/>
      <c r="M59" s="83"/>
      <c r="N59" s="84"/>
      <c r="O59" s="84"/>
    </row>
    <row r="60" spans="1:15" x14ac:dyDescent="0.35">
      <c r="A60" s="80"/>
      <c r="B60" s="81"/>
      <c r="C60" s="81"/>
      <c r="D60" s="82"/>
      <c r="E60" s="83"/>
      <c r="F60" s="84"/>
      <c r="G60" s="84"/>
      <c r="I60" s="80"/>
      <c r="J60" s="81"/>
      <c r="K60" s="81"/>
      <c r="L60" s="82"/>
      <c r="M60" s="83"/>
      <c r="N60" s="84"/>
      <c r="O60" s="84"/>
    </row>
    <row r="61" spans="1:15" x14ac:dyDescent="0.35">
      <c r="A61" s="80"/>
      <c r="B61" s="81"/>
      <c r="C61" s="81"/>
      <c r="D61" s="82"/>
      <c r="E61" s="83"/>
      <c r="F61" s="84"/>
      <c r="G61" s="84"/>
      <c r="I61" s="80"/>
      <c r="J61" s="81"/>
      <c r="K61" s="81"/>
      <c r="L61" s="82"/>
      <c r="M61" s="83"/>
      <c r="N61" s="84"/>
      <c r="O61" s="84"/>
    </row>
    <row r="62" spans="1:15" x14ac:dyDescent="0.35">
      <c r="A62" s="80"/>
      <c r="B62" s="81"/>
      <c r="C62" s="81"/>
      <c r="D62" s="82"/>
      <c r="E62" s="83"/>
      <c r="F62" s="84"/>
      <c r="G62" s="84"/>
      <c r="I62" s="80"/>
      <c r="J62" s="81"/>
      <c r="K62" s="81"/>
      <c r="L62" s="82"/>
      <c r="M62" s="83"/>
      <c r="N62" s="84"/>
      <c r="O62" s="84"/>
    </row>
    <row r="63" spans="1:15" x14ac:dyDescent="0.35">
      <c r="A63" s="80"/>
      <c r="B63" s="81"/>
      <c r="C63" s="81"/>
      <c r="D63" s="82"/>
      <c r="E63" s="83"/>
      <c r="F63" s="84"/>
      <c r="G63" s="84"/>
      <c r="I63" s="80"/>
      <c r="J63" s="81"/>
      <c r="K63" s="81"/>
      <c r="L63" s="82"/>
      <c r="M63" s="83"/>
      <c r="N63" s="84"/>
      <c r="O63" s="84"/>
    </row>
    <row r="64" spans="1:15" x14ac:dyDescent="0.35">
      <c r="A64" s="80"/>
      <c r="B64" s="81"/>
      <c r="C64" s="81"/>
      <c r="D64" s="82"/>
      <c r="E64" s="83"/>
      <c r="F64" s="84"/>
      <c r="G64" s="84"/>
      <c r="I64" s="80"/>
      <c r="J64" s="81"/>
      <c r="K64" s="81"/>
      <c r="L64" s="82"/>
      <c r="M64" s="83"/>
      <c r="N64" s="84"/>
      <c r="O64" s="84"/>
    </row>
    <row r="65" spans="1:15" x14ac:dyDescent="0.35">
      <c r="A65" s="80"/>
      <c r="B65" s="81"/>
      <c r="C65" s="81"/>
      <c r="D65" s="82"/>
      <c r="E65" s="83"/>
      <c r="F65" s="84"/>
      <c r="G65" s="84"/>
      <c r="I65" s="80"/>
      <c r="J65" s="81"/>
      <c r="K65" s="81"/>
      <c r="L65" s="82"/>
      <c r="M65" s="83"/>
      <c r="N65" s="84"/>
      <c r="O65" s="84"/>
    </row>
    <row r="66" spans="1:15" x14ac:dyDescent="0.35">
      <c r="A66" s="80"/>
      <c r="B66" s="81"/>
      <c r="C66" s="81"/>
      <c r="D66" s="82"/>
      <c r="E66" s="83"/>
      <c r="F66" s="84"/>
      <c r="G66" s="84"/>
      <c r="I66" s="80"/>
      <c r="J66" s="81"/>
      <c r="K66" s="81"/>
      <c r="L66" s="82"/>
      <c r="M66" s="83"/>
      <c r="N66" s="84"/>
      <c r="O66" s="84"/>
    </row>
    <row r="67" spans="1:15" x14ac:dyDescent="0.35">
      <c r="A67" s="80"/>
      <c r="B67" s="81"/>
      <c r="C67" s="81"/>
      <c r="D67" s="82"/>
      <c r="E67" s="83"/>
      <c r="F67" s="84"/>
      <c r="G67" s="84"/>
      <c r="I67" s="80"/>
      <c r="J67" s="81"/>
      <c r="K67" s="81"/>
      <c r="L67" s="82"/>
      <c r="M67" s="83"/>
      <c r="N67" s="84"/>
      <c r="O67" s="84"/>
    </row>
    <row r="68" spans="1:15" x14ac:dyDescent="0.35">
      <c r="A68" s="80"/>
      <c r="B68" s="81"/>
      <c r="C68" s="81"/>
      <c r="D68" s="82"/>
      <c r="E68" s="83"/>
      <c r="F68" s="84"/>
      <c r="G68" s="84"/>
      <c r="I68" s="80"/>
      <c r="J68" s="81"/>
      <c r="K68" s="81"/>
      <c r="L68" s="82"/>
      <c r="M68" s="83"/>
      <c r="N68" s="84"/>
      <c r="O68" s="84"/>
    </row>
    <row r="69" spans="1:15" x14ac:dyDescent="0.35">
      <c r="A69" s="80"/>
      <c r="B69" s="81"/>
      <c r="C69" s="81"/>
      <c r="D69" s="82"/>
      <c r="E69" s="83"/>
      <c r="F69" s="84"/>
      <c r="G69" s="84"/>
      <c r="I69" s="80"/>
      <c r="J69" s="81"/>
      <c r="K69" s="81"/>
      <c r="L69" s="82"/>
      <c r="M69" s="83"/>
      <c r="N69" s="84"/>
      <c r="O69" s="84"/>
    </row>
    <row r="70" spans="1:15" x14ac:dyDescent="0.35">
      <c r="A70" s="80"/>
      <c r="B70" s="81"/>
      <c r="C70" s="81"/>
      <c r="D70" s="82"/>
      <c r="E70" s="83"/>
      <c r="F70" s="84"/>
      <c r="G70" s="84"/>
      <c r="I70" s="80"/>
      <c r="J70" s="81"/>
      <c r="K70" s="81"/>
      <c r="L70" s="82"/>
      <c r="M70" s="83"/>
      <c r="N70" s="84"/>
      <c r="O70" s="84"/>
    </row>
    <row r="71" spans="1:15" x14ac:dyDescent="0.35">
      <c r="A71" s="80"/>
      <c r="B71" s="81"/>
      <c r="C71" s="81"/>
      <c r="D71" s="82"/>
      <c r="E71" s="83"/>
      <c r="F71" s="84"/>
      <c r="G71" s="84"/>
      <c r="I71" s="80"/>
      <c r="J71" s="81"/>
      <c r="K71" s="81"/>
      <c r="L71" s="82"/>
      <c r="M71" s="83"/>
      <c r="N71" s="84"/>
      <c r="O71" s="84"/>
    </row>
    <row r="72" spans="1:15" x14ac:dyDescent="0.35">
      <c r="A72" s="80"/>
      <c r="B72" s="81"/>
      <c r="C72" s="81"/>
      <c r="D72" s="82"/>
      <c r="E72" s="83"/>
      <c r="F72" s="84"/>
      <c r="G72" s="84"/>
      <c r="I72" s="80"/>
      <c r="J72" s="81"/>
      <c r="K72" s="81"/>
      <c r="L72" s="82"/>
      <c r="M72" s="83"/>
      <c r="N72" s="84"/>
      <c r="O72" s="84"/>
    </row>
    <row r="73" spans="1:15" x14ac:dyDescent="0.35">
      <c r="A73" s="80"/>
      <c r="B73" s="81"/>
      <c r="C73" s="81"/>
      <c r="D73" s="82"/>
      <c r="E73" s="83"/>
      <c r="F73" s="84"/>
      <c r="G73" s="84"/>
      <c r="I73" s="80"/>
      <c r="J73" s="81"/>
      <c r="K73" s="81"/>
      <c r="L73" s="82"/>
      <c r="M73" s="83"/>
      <c r="N73" s="84"/>
      <c r="O73" s="84"/>
    </row>
    <row r="74" spans="1:15" x14ac:dyDescent="0.35">
      <c r="A74" s="80"/>
      <c r="B74" s="81"/>
      <c r="C74" s="81"/>
      <c r="D74" s="82"/>
      <c r="E74" s="83"/>
      <c r="F74" s="84"/>
      <c r="G74" s="84"/>
      <c r="I74" s="80"/>
      <c r="J74" s="81"/>
      <c r="K74" s="81"/>
      <c r="L74" s="82"/>
      <c r="M74" s="83"/>
      <c r="N74" s="84"/>
      <c r="O74" s="84"/>
    </row>
    <row r="75" spans="1:15" x14ac:dyDescent="0.35">
      <c r="A75" s="80"/>
      <c r="B75" s="81"/>
      <c r="C75" s="81"/>
      <c r="D75" s="82"/>
      <c r="E75" s="83"/>
      <c r="F75" s="84"/>
      <c r="G75" s="84"/>
      <c r="I75" s="80"/>
      <c r="J75" s="81"/>
      <c r="K75" s="81"/>
      <c r="L75" s="82"/>
      <c r="M75" s="83"/>
      <c r="N75" s="84"/>
      <c r="O75" s="84"/>
    </row>
    <row r="76" spans="1:15" x14ac:dyDescent="0.35">
      <c r="A76" s="80"/>
      <c r="B76" s="81"/>
      <c r="C76" s="81"/>
      <c r="D76" s="82"/>
      <c r="E76" s="83"/>
      <c r="F76" s="84"/>
      <c r="G76" s="84"/>
      <c r="I76" s="80"/>
      <c r="J76" s="81"/>
      <c r="K76" s="81"/>
      <c r="L76" s="82"/>
      <c r="M76" s="83"/>
      <c r="N76" s="84"/>
      <c r="O76" s="84"/>
    </row>
    <row r="77" spans="1:15" x14ac:dyDescent="0.35">
      <c r="A77" s="80"/>
      <c r="B77" s="81"/>
      <c r="C77" s="81"/>
      <c r="D77" s="82"/>
      <c r="E77" s="83"/>
      <c r="F77" s="84"/>
      <c r="G77" s="84"/>
      <c r="I77" s="80"/>
      <c r="J77" s="81"/>
      <c r="K77" s="81"/>
      <c r="L77" s="82"/>
      <c r="M77" s="83"/>
      <c r="N77" s="84"/>
      <c r="O77" s="84"/>
    </row>
    <row r="78" spans="1:15" x14ac:dyDescent="0.35">
      <c r="A78" s="80"/>
      <c r="B78" s="81"/>
      <c r="C78" s="81"/>
      <c r="D78" s="82"/>
      <c r="E78" s="83"/>
      <c r="F78" s="84"/>
      <c r="G78" s="84"/>
      <c r="I78" s="80"/>
      <c r="J78" s="81"/>
      <c r="K78" s="81"/>
      <c r="L78" s="82"/>
      <c r="M78" s="83"/>
      <c r="N78" s="84"/>
      <c r="O78" s="84"/>
    </row>
    <row r="79" spans="1:15" x14ac:dyDescent="0.35">
      <c r="A79" s="80"/>
      <c r="B79" s="81"/>
      <c r="C79" s="81"/>
      <c r="D79" s="82"/>
      <c r="E79" s="83"/>
      <c r="F79" s="84"/>
      <c r="G79" s="84"/>
      <c r="I79" s="80"/>
      <c r="J79" s="81"/>
      <c r="K79" s="81"/>
      <c r="L79" s="82"/>
      <c r="M79" s="83"/>
      <c r="N79" s="84"/>
      <c r="O79" s="84"/>
    </row>
    <row r="80" spans="1:15" x14ac:dyDescent="0.35">
      <c r="A80" s="80"/>
      <c r="B80" s="81"/>
      <c r="C80" s="81"/>
      <c r="D80" s="82"/>
      <c r="E80" s="83"/>
      <c r="F80" s="84"/>
      <c r="G80" s="84"/>
      <c r="I80" s="80"/>
      <c r="J80" s="81"/>
      <c r="K80" s="81"/>
      <c r="L80" s="82"/>
      <c r="M80" s="83"/>
      <c r="N80" s="84"/>
      <c r="O80" s="84"/>
    </row>
    <row r="81" spans="1:7" x14ac:dyDescent="0.35">
      <c r="A81" s="80"/>
      <c r="B81" s="81"/>
      <c r="C81" s="81"/>
      <c r="D81" s="82"/>
      <c r="E81" s="83"/>
      <c r="F81" s="84"/>
      <c r="G81" s="84"/>
    </row>
    <row r="82" spans="1:7" x14ac:dyDescent="0.35">
      <c r="A82" s="80"/>
      <c r="B82" s="81"/>
      <c r="C82" s="81"/>
      <c r="D82" s="82"/>
      <c r="E82" s="83"/>
      <c r="F82" s="84"/>
      <c r="G82" s="84"/>
    </row>
    <row r="83" spans="1:7" x14ac:dyDescent="0.35">
      <c r="A83" s="80"/>
      <c r="B83" s="81"/>
      <c r="C83" s="81"/>
      <c r="D83" s="82"/>
      <c r="E83" s="83"/>
      <c r="F83" s="84"/>
      <c r="G83" s="84"/>
    </row>
    <row r="84" spans="1:7" x14ac:dyDescent="0.35">
      <c r="A84" s="80"/>
      <c r="B84" s="81"/>
      <c r="C84" s="81"/>
      <c r="D84" s="82"/>
      <c r="E84" s="83"/>
      <c r="F84" s="84"/>
      <c r="G84" s="84"/>
    </row>
    <row r="85" spans="1:7" x14ac:dyDescent="0.35">
      <c r="A85" s="80"/>
      <c r="B85" s="81"/>
      <c r="C85" s="81"/>
      <c r="D85" s="82"/>
      <c r="E85" s="83"/>
      <c r="F85" s="84"/>
      <c r="G85" s="84"/>
    </row>
    <row r="86" spans="1:7" x14ac:dyDescent="0.35">
      <c r="A86" s="80"/>
      <c r="B86" s="81"/>
      <c r="C86" s="81"/>
      <c r="D86" s="82"/>
      <c r="E86" s="83"/>
      <c r="F86" s="84"/>
      <c r="G86" s="84"/>
    </row>
    <row r="87" spans="1:7" x14ac:dyDescent="0.35">
      <c r="A87" s="80"/>
      <c r="B87" s="81"/>
      <c r="C87" s="81"/>
      <c r="D87" s="82"/>
      <c r="E87" s="83"/>
      <c r="F87" s="84"/>
      <c r="G87" s="84"/>
    </row>
    <row r="88" spans="1:7" x14ac:dyDescent="0.35">
      <c r="A88" s="80"/>
      <c r="B88" s="81"/>
      <c r="C88" s="81"/>
      <c r="D88" s="82"/>
      <c r="E88" s="83"/>
      <c r="F88" s="84"/>
      <c r="G88" s="84"/>
    </row>
    <row r="89" spans="1:7" x14ac:dyDescent="0.35">
      <c r="A89" s="80"/>
      <c r="B89" s="81"/>
      <c r="C89" s="81"/>
      <c r="D89" s="82"/>
      <c r="E89" s="83"/>
      <c r="F89" s="84"/>
      <c r="G89" s="84"/>
    </row>
    <row r="90" spans="1:7" x14ac:dyDescent="0.35">
      <c r="A90" s="80"/>
      <c r="B90" s="81"/>
      <c r="C90" s="81"/>
      <c r="D90" s="82"/>
      <c r="E90" s="83"/>
      <c r="F90" s="84"/>
      <c r="G90" s="84"/>
    </row>
    <row r="91" spans="1:7" x14ac:dyDescent="0.35">
      <c r="A91" s="80"/>
      <c r="B91" s="81"/>
      <c r="C91" s="81"/>
      <c r="D91" s="82"/>
      <c r="E91" s="83"/>
      <c r="F91" s="84"/>
      <c r="G91" s="84"/>
    </row>
    <row r="92" spans="1:7" x14ac:dyDescent="0.35">
      <c r="A92" s="80"/>
      <c r="B92" s="81"/>
      <c r="C92" s="81"/>
      <c r="D92" s="82"/>
      <c r="E92" s="83"/>
      <c r="F92" s="84"/>
      <c r="G92" s="84"/>
    </row>
    <row r="93" spans="1:7" x14ac:dyDescent="0.35">
      <c r="A93" s="80"/>
      <c r="B93" s="81"/>
      <c r="C93" s="81"/>
      <c r="D93" s="82"/>
      <c r="E93" s="83"/>
      <c r="F93" s="84"/>
      <c r="G93" s="84"/>
    </row>
    <row r="94" spans="1:7" x14ac:dyDescent="0.35">
      <c r="A94" s="80"/>
      <c r="B94" s="81"/>
      <c r="C94" s="81"/>
      <c r="D94" s="82"/>
      <c r="E94" s="83"/>
      <c r="F94" s="84"/>
      <c r="G94" s="84"/>
    </row>
    <row r="95" spans="1:7" x14ac:dyDescent="0.35">
      <c r="A95" s="80"/>
      <c r="B95" s="81"/>
      <c r="C95" s="81"/>
      <c r="D95" s="82"/>
      <c r="E95" s="83"/>
      <c r="F95" s="84"/>
      <c r="G95" s="84"/>
    </row>
    <row r="96" spans="1:7" x14ac:dyDescent="0.35">
      <c r="A96" s="80"/>
      <c r="B96" s="81"/>
      <c r="C96" s="81"/>
      <c r="D96" s="82"/>
      <c r="E96" s="83"/>
      <c r="F96" s="84"/>
      <c r="G96" s="84"/>
    </row>
    <row r="97" spans="1:7" x14ac:dyDescent="0.35">
      <c r="A97" s="80"/>
      <c r="B97" s="81"/>
      <c r="C97" s="81"/>
      <c r="D97" s="82"/>
      <c r="E97" s="83"/>
      <c r="F97" s="84"/>
      <c r="G97" s="84"/>
    </row>
    <row r="98" spans="1:7" x14ac:dyDescent="0.35">
      <c r="A98" s="80"/>
      <c r="B98" s="81"/>
      <c r="C98" s="81"/>
      <c r="D98" s="82"/>
      <c r="E98" s="83"/>
      <c r="F98" s="84"/>
      <c r="G98" s="84"/>
    </row>
    <row r="99" spans="1:7" x14ac:dyDescent="0.35">
      <c r="A99" s="80"/>
      <c r="B99" s="81"/>
      <c r="C99" s="81"/>
      <c r="D99" s="82"/>
      <c r="E99" s="83"/>
      <c r="F99" s="84"/>
      <c r="G99" s="84"/>
    </row>
    <row r="100" spans="1:7" x14ac:dyDescent="0.35">
      <c r="A100" s="80"/>
      <c r="B100" s="81"/>
      <c r="C100" s="81"/>
      <c r="D100" s="82"/>
      <c r="E100" s="83"/>
      <c r="F100" s="84"/>
      <c r="G100" s="84"/>
    </row>
    <row r="101" spans="1:7" x14ac:dyDescent="0.35">
      <c r="A101" s="80"/>
      <c r="B101" s="81"/>
      <c r="C101" s="81"/>
      <c r="D101" s="82"/>
      <c r="E101" s="83"/>
      <c r="F101" s="84"/>
      <c r="G101" s="84"/>
    </row>
    <row r="102" spans="1:7" x14ac:dyDescent="0.35">
      <c r="A102" s="80"/>
      <c r="B102" s="81"/>
      <c r="C102" s="81"/>
      <c r="D102" s="82"/>
      <c r="E102" s="83"/>
      <c r="F102" s="84"/>
      <c r="G102" s="84"/>
    </row>
    <row r="103" spans="1:7" x14ac:dyDescent="0.35">
      <c r="A103" s="80"/>
      <c r="B103" s="81"/>
      <c r="C103" s="81"/>
      <c r="D103" s="82"/>
      <c r="E103" s="83"/>
      <c r="F103" s="84"/>
      <c r="G103" s="84"/>
    </row>
    <row r="104" spans="1:7" x14ac:dyDescent="0.35">
      <c r="A104" s="80"/>
      <c r="B104" s="81"/>
      <c r="C104" s="81"/>
      <c r="D104" s="82"/>
      <c r="E104" s="83"/>
      <c r="F104" s="84"/>
      <c r="G104" s="84"/>
    </row>
    <row r="105" spans="1:7" x14ac:dyDescent="0.35">
      <c r="A105" s="80"/>
      <c r="B105" s="81"/>
      <c r="C105" s="81"/>
      <c r="D105" s="82"/>
      <c r="E105" s="83"/>
      <c r="F105" s="84"/>
      <c r="G105" s="84"/>
    </row>
    <row r="106" spans="1:7" x14ac:dyDescent="0.35">
      <c r="A106" s="80"/>
      <c r="B106" s="81"/>
      <c r="C106" s="81"/>
      <c r="D106" s="82"/>
      <c r="E106" s="83"/>
      <c r="F106" s="84"/>
      <c r="G106" s="84"/>
    </row>
    <row r="107" spans="1:7" x14ac:dyDescent="0.35">
      <c r="A107" s="80"/>
      <c r="B107" s="81"/>
      <c r="C107" s="81"/>
      <c r="D107" s="82"/>
      <c r="E107" s="83"/>
      <c r="F107" s="84"/>
      <c r="G107" s="84"/>
    </row>
    <row r="108" spans="1:7" x14ac:dyDescent="0.35">
      <c r="A108" s="80"/>
      <c r="B108" s="81"/>
      <c r="C108" s="81"/>
      <c r="D108" s="82"/>
      <c r="E108" s="83"/>
      <c r="F108" s="84"/>
      <c r="G108" s="84"/>
    </row>
    <row r="109" spans="1:7" x14ac:dyDescent="0.35">
      <c r="A109" s="80"/>
      <c r="B109" s="81"/>
      <c r="C109" s="81"/>
      <c r="D109" s="82"/>
      <c r="E109" s="83"/>
      <c r="F109" s="84"/>
      <c r="G109" s="84"/>
    </row>
    <row r="110" spans="1:7" x14ac:dyDescent="0.35">
      <c r="A110" s="80"/>
      <c r="B110" s="81"/>
      <c r="C110" s="81"/>
      <c r="D110" s="82"/>
      <c r="E110" s="83"/>
      <c r="F110" s="84"/>
      <c r="G110" s="84"/>
    </row>
    <row r="111" spans="1:7" x14ac:dyDescent="0.35">
      <c r="A111" s="80"/>
      <c r="B111" s="81"/>
      <c r="C111" s="81"/>
      <c r="D111" s="82"/>
      <c r="E111" s="83"/>
      <c r="F111" s="84"/>
      <c r="G111" s="84"/>
    </row>
    <row r="112" spans="1:7" x14ac:dyDescent="0.35">
      <c r="A112" s="80"/>
      <c r="B112" s="81"/>
      <c r="C112" s="81"/>
      <c r="D112" s="82"/>
      <c r="E112" s="83"/>
      <c r="F112" s="84"/>
      <c r="G112" s="84"/>
    </row>
    <row r="113" spans="1:7" x14ac:dyDescent="0.35">
      <c r="A113" s="80"/>
      <c r="B113" s="81"/>
      <c r="C113" s="81"/>
      <c r="D113" s="82"/>
      <c r="E113" s="83"/>
      <c r="F113" s="84"/>
      <c r="G113" s="84"/>
    </row>
    <row r="114" spans="1:7" x14ac:dyDescent="0.35">
      <c r="A114" s="80"/>
      <c r="B114" s="81"/>
      <c r="C114" s="81"/>
      <c r="D114" s="82"/>
      <c r="E114" s="83"/>
      <c r="F114" s="84"/>
      <c r="G114" s="84"/>
    </row>
    <row r="115" spans="1:7" x14ac:dyDescent="0.35">
      <c r="A115" s="80"/>
      <c r="B115" s="81"/>
      <c r="C115" s="81"/>
      <c r="D115" s="82"/>
      <c r="E115" s="83"/>
      <c r="F115" s="84"/>
      <c r="G115" s="84"/>
    </row>
    <row r="116" spans="1:7" x14ac:dyDescent="0.35">
      <c r="A116" s="80"/>
      <c r="B116" s="81"/>
      <c r="C116" s="81"/>
      <c r="D116" s="82"/>
      <c r="E116" s="83"/>
      <c r="F116" s="84"/>
      <c r="G116" s="84"/>
    </row>
    <row r="117" spans="1:7" x14ac:dyDescent="0.35">
      <c r="A117" s="80"/>
      <c r="B117" s="81"/>
      <c r="C117" s="81"/>
      <c r="D117" s="82"/>
      <c r="E117" s="83"/>
      <c r="F117" s="84"/>
      <c r="G117" s="84"/>
    </row>
    <row r="118" spans="1:7" x14ac:dyDescent="0.35">
      <c r="A118" s="80"/>
      <c r="B118" s="81"/>
      <c r="C118" s="81"/>
      <c r="D118" s="82"/>
      <c r="E118" s="83"/>
      <c r="F118" s="84"/>
      <c r="G118" s="84"/>
    </row>
    <row r="119" spans="1:7" x14ac:dyDescent="0.35">
      <c r="A119" s="80"/>
      <c r="B119" s="81"/>
      <c r="C119" s="81"/>
      <c r="D119" s="82"/>
      <c r="E119" s="83"/>
      <c r="F119" s="84"/>
      <c r="G119" s="84"/>
    </row>
    <row r="120" spans="1:7" x14ac:dyDescent="0.35">
      <c r="A120" s="80"/>
      <c r="B120" s="81"/>
      <c r="C120" s="81"/>
      <c r="D120" s="82"/>
      <c r="E120" s="83"/>
      <c r="F120" s="84"/>
      <c r="G120" s="84"/>
    </row>
    <row r="121" spans="1:7" x14ac:dyDescent="0.35">
      <c r="A121" s="80"/>
      <c r="B121" s="81"/>
      <c r="C121" s="81"/>
      <c r="D121" s="82"/>
      <c r="E121" s="83"/>
      <c r="F121" s="84"/>
      <c r="G121" s="84"/>
    </row>
    <row r="122" spans="1:7" x14ac:dyDescent="0.35">
      <c r="A122" s="80"/>
      <c r="B122" s="81"/>
      <c r="C122" s="81"/>
      <c r="D122" s="82"/>
      <c r="E122" s="83"/>
      <c r="F122" s="84"/>
      <c r="G122" s="84"/>
    </row>
    <row r="123" spans="1:7" x14ac:dyDescent="0.35">
      <c r="A123" s="80"/>
      <c r="B123" s="81"/>
      <c r="C123" s="81"/>
      <c r="D123" s="82"/>
      <c r="E123" s="83"/>
      <c r="F123" s="84"/>
      <c r="G123" s="84"/>
    </row>
    <row r="124" spans="1:7" x14ac:dyDescent="0.35">
      <c r="A124" s="80"/>
      <c r="B124" s="81"/>
      <c r="C124" s="81"/>
      <c r="D124" s="82"/>
      <c r="E124" s="83"/>
      <c r="F124" s="84"/>
      <c r="G124" s="84"/>
    </row>
    <row r="125" spans="1:7" x14ac:dyDescent="0.35">
      <c r="A125" s="80"/>
      <c r="B125" s="81"/>
      <c r="C125" s="81"/>
      <c r="D125" s="82"/>
      <c r="E125" s="83"/>
      <c r="F125" s="84"/>
      <c r="G125" s="84"/>
    </row>
    <row r="126" spans="1:7" x14ac:dyDescent="0.35">
      <c r="A126" s="80"/>
      <c r="B126" s="81"/>
      <c r="C126" s="81"/>
      <c r="D126" s="82"/>
      <c r="E126" s="83"/>
      <c r="F126" s="84"/>
      <c r="G126" s="84"/>
    </row>
    <row r="127" spans="1:7" x14ac:dyDescent="0.35">
      <c r="A127" s="80"/>
      <c r="B127" s="81"/>
      <c r="C127" s="81"/>
      <c r="D127" s="82"/>
      <c r="E127" s="83"/>
      <c r="F127" s="84"/>
      <c r="G127" s="84"/>
    </row>
    <row r="128" spans="1:7" x14ac:dyDescent="0.35">
      <c r="A128" s="80"/>
      <c r="B128" s="81"/>
      <c r="C128" s="81"/>
      <c r="D128" s="82"/>
      <c r="E128" s="83"/>
      <c r="F128" s="84"/>
      <c r="G128" s="84"/>
    </row>
    <row r="129" spans="1:7" x14ac:dyDescent="0.35">
      <c r="A129" s="80"/>
      <c r="B129" s="81"/>
      <c r="C129" s="81"/>
      <c r="D129" s="82"/>
      <c r="E129" s="83"/>
      <c r="F129" s="84"/>
      <c r="G129" s="84"/>
    </row>
    <row r="130" spans="1:7" x14ac:dyDescent="0.35">
      <c r="A130" s="80"/>
      <c r="B130" s="81"/>
      <c r="C130" s="81"/>
      <c r="D130" s="82"/>
      <c r="E130" s="83"/>
      <c r="F130" s="84"/>
      <c r="G130" s="84"/>
    </row>
    <row r="131" spans="1:7" x14ac:dyDescent="0.35">
      <c r="A131" s="80"/>
      <c r="B131" s="81"/>
      <c r="C131" s="81"/>
      <c r="D131" s="82"/>
      <c r="E131" s="83"/>
      <c r="F131" s="84"/>
      <c r="G131" s="84"/>
    </row>
    <row r="132" spans="1:7" x14ac:dyDescent="0.35">
      <c r="A132" s="80"/>
      <c r="B132" s="81"/>
      <c r="C132" s="81"/>
      <c r="D132" s="82"/>
      <c r="E132" s="83"/>
      <c r="F132" s="84"/>
      <c r="G132" s="84"/>
    </row>
    <row r="133" spans="1:7" x14ac:dyDescent="0.35">
      <c r="A133" s="80"/>
      <c r="B133" s="81"/>
      <c r="C133" s="81"/>
      <c r="D133" s="82"/>
      <c r="E133" s="83"/>
      <c r="F133" s="84"/>
      <c r="G133" s="84"/>
    </row>
    <row r="134" spans="1:7" x14ac:dyDescent="0.35">
      <c r="A134" s="80"/>
      <c r="B134" s="81"/>
      <c r="C134" s="81"/>
      <c r="D134" s="82"/>
      <c r="E134" s="83"/>
      <c r="F134" s="84"/>
      <c r="G134" s="84"/>
    </row>
    <row r="135" spans="1:7" x14ac:dyDescent="0.35">
      <c r="A135" s="80"/>
      <c r="B135" s="81"/>
      <c r="C135" s="81"/>
      <c r="D135" s="82"/>
      <c r="E135" s="83"/>
      <c r="F135" s="84"/>
      <c r="G135" s="84"/>
    </row>
    <row r="136" spans="1:7" x14ac:dyDescent="0.35">
      <c r="A136" s="80"/>
      <c r="B136" s="81"/>
      <c r="C136" s="81"/>
      <c r="D136" s="82"/>
      <c r="E136" s="83"/>
      <c r="F136" s="84"/>
      <c r="G136" s="84"/>
    </row>
    <row r="137" spans="1:7" x14ac:dyDescent="0.35">
      <c r="A137" s="80"/>
      <c r="B137" s="81"/>
      <c r="C137" s="81"/>
      <c r="D137" s="82"/>
      <c r="E137" s="83"/>
      <c r="F137" s="84"/>
      <c r="G137" s="84"/>
    </row>
    <row r="138" spans="1:7" x14ac:dyDescent="0.35">
      <c r="A138" s="80"/>
      <c r="B138" s="81"/>
      <c r="C138" s="81"/>
      <c r="D138" s="82"/>
      <c r="E138" s="83"/>
      <c r="F138" s="84"/>
      <c r="G138" s="84"/>
    </row>
    <row r="139" spans="1:7" x14ac:dyDescent="0.35">
      <c r="A139" s="80"/>
      <c r="B139" s="81"/>
      <c r="C139" s="81"/>
      <c r="D139" s="82"/>
      <c r="E139" s="83"/>
      <c r="F139" s="84"/>
      <c r="G139" s="84"/>
    </row>
    <row r="140" spans="1:7" x14ac:dyDescent="0.35">
      <c r="A140" s="80"/>
      <c r="B140" s="81"/>
      <c r="C140" s="81"/>
      <c r="D140" s="82"/>
      <c r="E140" s="83"/>
      <c r="F140" s="84"/>
      <c r="G140" s="84"/>
    </row>
    <row r="141" spans="1:7" x14ac:dyDescent="0.35">
      <c r="A141" s="80"/>
      <c r="B141" s="81"/>
      <c r="C141" s="81"/>
      <c r="D141" s="82"/>
      <c r="E141" s="83"/>
      <c r="F141" s="84"/>
      <c r="G141" s="84"/>
    </row>
    <row r="142" spans="1:7" x14ac:dyDescent="0.35">
      <c r="A142" s="80"/>
      <c r="B142" s="81"/>
      <c r="C142" s="81"/>
      <c r="D142" s="82"/>
      <c r="E142" s="83"/>
      <c r="F142" s="84"/>
      <c r="G142" s="84"/>
    </row>
    <row r="143" spans="1:7" x14ac:dyDescent="0.35">
      <c r="A143" s="80"/>
      <c r="B143" s="81"/>
      <c r="C143" s="81"/>
      <c r="D143" s="82"/>
      <c r="E143" s="83"/>
      <c r="F143" s="84"/>
      <c r="G143" s="84"/>
    </row>
    <row r="144" spans="1:7" x14ac:dyDescent="0.35">
      <c r="A144" s="80"/>
      <c r="B144" s="81"/>
      <c r="C144" s="81"/>
      <c r="D144" s="82"/>
      <c r="E144" s="83"/>
      <c r="F144" s="84"/>
      <c r="G144" s="84"/>
    </row>
    <row r="145" spans="1:7" x14ac:dyDescent="0.35">
      <c r="A145" s="80"/>
      <c r="B145" s="81"/>
      <c r="C145" s="81"/>
      <c r="D145" s="82"/>
      <c r="E145" s="83"/>
      <c r="F145" s="84"/>
      <c r="G145" s="84"/>
    </row>
    <row r="146" spans="1:7" x14ac:dyDescent="0.35">
      <c r="A146" s="80"/>
      <c r="B146" s="81"/>
      <c r="C146" s="81"/>
      <c r="D146" s="82"/>
      <c r="E146" s="83"/>
      <c r="F146" s="84"/>
      <c r="G146" s="84"/>
    </row>
    <row r="147" spans="1:7" x14ac:dyDescent="0.35">
      <c r="A147" s="80"/>
      <c r="B147" s="81"/>
      <c r="C147" s="81"/>
      <c r="D147" s="82"/>
      <c r="E147" s="83"/>
      <c r="F147" s="84"/>
      <c r="G147" s="84"/>
    </row>
    <row r="148" spans="1:7" x14ac:dyDescent="0.35">
      <c r="A148" s="80"/>
      <c r="B148" s="81"/>
      <c r="C148" s="81"/>
      <c r="D148" s="82"/>
      <c r="E148" s="83"/>
      <c r="F148" s="84"/>
      <c r="G148" s="84"/>
    </row>
    <row r="149" spans="1:7" x14ac:dyDescent="0.35">
      <c r="A149" s="80"/>
      <c r="B149" s="81"/>
      <c r="C149" s="81"/>
      <c r="D149" s="82"/>
      <c r="E149" s="83"/>
      <c r="F149" s="84"/>
      <c r="G149" s="84"/>
    </row>
    <row r="150" spans="1:7" x14ac:dyDescent="0.35">
      <c r="A150" s="80"/>
      <c r="B150" s="81"/>
      <c r="C150" s="81"/>
      <c r="D150" s="82"/>
      <c r="E150" s="83"/>
      <c r="F150" s="84"/>
      <c r="G150" s="84"/>
    </row>
    <row r="151" spans="1:7" x14ac:dyDescent="0.35">
      <c r="A151" s="80"/>
      <c r="B151" s="81"/>
      <c r="C151" s="81"/>
      <c r="D151" s="82"/>
      <c r="E151" s="83"/>
      <c r="F151" s="84"/>
      <c r="G151" s="84"/>
    </row>
    <row r="152" spans="1:7" x14ac:dyDescent="0.35">
      <c r="A152" s="80"/>
      <c r="B152" s="81"/>
      <c r="C152" s="81"/>
      <c r="D152" s="82"/>
      <c r="E152" s="83"/>
      <c r="F152" s="84"/>
      <c r="G152" s="84"/>
    </row>
    <row r="153" spans="1:7" x14ac:dyDescent="0.35">
      <c r="A153" s="80"/>
      <c r="B153" s="81"/>
      <c r="C153" s="81"/>
      <c r="D153" s="82"/>
      <c r="E153" s="83"/>
      <c r="F153" s="84"/>
      <c r="G153" s="84"/>
    </row>
    <row r="154" spans="1:7" x14ac:dyDescent="0.35">
      <c r="A154" s="80"/>
      <c r="B154" s="81"/>
      <c r="C154" s="81"/>
      <c r="D154" s="82"/>
      <c r="E154" s="83"/>
      <c r="F154" s="84"/>
      <c r="G154" s="84"/>
    </row>
    <row r="155" spans="1:7" x14ac:dyDescent="0.35">
      <c r="A155" s="80"/>
      <c r="B155" s="81"/>
      <c r="C155" s="81"/>
      <c r="D155" s="82"/>
      <c r="E155" s="83"/>
      <c r="F155" s="84"/>
      <c r="G155" s="84"/>
    </row>
    <row r="156" spans="1:7" x14ac:dyDescent="0.35">
      <c r="A156" s="80"/>
      <c r="B156" s="81"/>
      <c r="C156" s="81"/>
      <c r="D156" s="82"/>
      <c r="E156" s="83"/>
      <c r="F156" s="84"/>
      <c r="G156" s="84"/>
    </row>
    <row r="157" spans="1:7" x14ac:dyDescent="0.35">
      <c r="A157" s="80"/>
      <c r="B157" s="81"/>
      <c r="C157" s="81"/>
      <c r="D157" s="82"/>
      <c r="E157" s="83"/>
      <c r="F157" s="84"/>
      <c r="G157" s="84"/>
    </row>
    <row r="158" spans="1:7" x14ac:dyDescent="0.35">
      <c r="A158" s="80"/>
      <c r="B158" s="81"/>
      <c r="C158" s="81"/>
      <c r="D158" s="82"/>
      <c r="E158" s="83"/>
      <c r="F158" s="84"/>
      <c r="G158" s="84"/>
    </row>
  </sheetData>
  <sheetProtection formatCells="0" formatColumns="0" formatRows="0" insertRows="0" deleteRows="0" sort="0" autoFilter="0"/>
  <mergeCells count="3">
    <mergeCell ref="A1:G1"/>
    <mergeCell ref="I1:O1"/>
    <mergeCell ref="Q1:W1"/>
  </mergeCells>
  <conditionalFormatting sqref="A1:W3">
    <cfRule type="expression" dxfId="5"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5C455-3A13-4CB4-9743-E84FA0B79489}">
  <sheetPr>
    <tabColor theme="5" tint="0.79998168889431442"/>
  </sheetPr>
  <dimension ref="A1:O272"/>
  <sheetViews>
    <sheetView workbookViewId="0">
      <pane ySplit="1" topLeftCell="A2" activePane="bottomLeft" state="frozen"/>
      <selection activeCell="A2" sqref="A2"/>
      <selection pane="bottomLeft" activeCell="E257" sqref="E257"/>
    </sheetView>
  </sheetViews>
  <sheetFormatPr defaultRowHeight="14.5" x14ac:dyDescent="0.35"/>
  <cols>
    <col min="1" max="1" width="10.08984375" style="25" bestFit="1" customWidth="1"/>
    <col min="2" max="2" width="12.453125" style="25" bestFit="1" customWidth="1"/>
    <col min="3" max="3" width="52.81640625" style="25" bestFit="1" customWidth="1"/>
    <col min="4" max="4" width="7.81640625" style="25" bestFit="1" customWidth="1"/>
    <col min="5" max="5" width="8.08984375" style="25" bestFit="1" customWidth="1"/>
    <col min="6" max="6" width="9.6328125" style="25" bestFit="1" customWidth="1"/>
    <col min="7" max="8" width="8.7265625" style="25"/>
    <col min="9" max="9" width="10.08984375" style="25" bestFit="1" customWidth="1"/>
    <col min="10" max="12" width="8.7265625" style="25"/>
    <col min="13" max="13" width="9.36328125" style="25" bestFit="1" customWidth="1"/>
    <col min="14" max="14" width="12.26953125" style="25" customWidth="1"/>
    <col min="15" max="16384" width="8.7265625" style="25"/>
  </cols>
  <sheetData>
    <row r="1" spans="1:15" s="51" customFormat="1" ht="29" x14ac:dyDescent="0.35">
      <c r="A1" s="51" t="s">
        <v>3</v>
      </c>
      <c r="B1" s="51" t="s">
        <v>4</v>
      </c>
      <c r="C1" s="51" t="s">
        <v>5</v>
      </c>
      <c r="D1" s="51" t="s">
        <v>6</v>
      </c>
      <c r="E1" s="51" t="s">
        <v>7</v>
      </c>
      <c r="F1" s="51" t="s">
        <v>90</v>
      </c>
      <c r="G1" s="103" t="s">
        <v>223</v>
      </c>
      <c r="I1" s="86" t="s">
        <v>3</v>
      </c>
      <c r="J1" s="85" t="s">
        <v>12</v>
      </c>
      <c r="K1" s="85" t="s">
        <v>13</v>
      </c>
      <c r="L1" s="85" t="s">
        <v>8</v>
      </c>
      <c r="M1" s="85" t="s">
        <v>9</v>
      </c>
      <c r="N1" s="87" t="s">
        <v>15</v>
      </c>
      <c r="O1" s="85" t="s">
        <v>14</v>
      </c>
    </row>
    <row r="2" spans="1:15" x14ac:dyDescent="0.35">
      <c r="A2" s="52"/>
      <c r="I2" s="2" t="e" cm="1" vm="1">
        <f t="array" ref="I2">_xlfn.LET(_xlpm.thd,$C$2:$C$100000,_xlpm.thm,((LEFT(TRIM(_xlpm.thd),1)="B")+(LEFT(TRIM(_xlpm.thd),1)="S"))*NOT(ISNUMBER(SEARCH("transfer",_xlpm.thd)))*NOT(ISNUMBER(SEARCH("tsfer",_xlpm.thd))),_xlfn._xlws.FILTER($A$2:$A$100000,_xlpm.thm))</f>
        <v>#VALUE!</v>
      </c>
      <c r="J2" s="3" t="e" cm="1" vm="1">
        <f t="array" ref="J2">_xlfn.LET(_xlpm.thd,$C$2:$C$100000,_xlpm.thm,((LEFT(TRIM(_xlpm.thd),1)="B")+(LEFT(TRIM(_xlpm.thd),1)="S"))*NOT(ISNUMBER(SEARCH("transfer",_xlpm.thd)))*NOT(ISNUMBER(SEARCH("tsfer",_xlpm.thd))),LEFT(TRIM(_xlfn._xlws.FILTER(_xlpm.thd,_xlpm.thm)),1))</f>
        <v>#VALUE!</v>
      </c>
      <c r="K2" s="3" t="e" cm="1" vm="1">
        <f t="array" ref="K2">_xlfn.LET(_xlpm.thd,$C$2:$C$100000,_xlpm.thm,((LEFT(TRIM(_xlpm.thd),1)="B")+(LEFT(TRIM(_xlpm.thd),1)="S"))*NOT(ISNUMBER(SEARCH("transfer",_xlpm.thd)))*NOT(ISNUMBER(SEARCH("tsfer",_xlpm.thd))),_xlpm.txt,TRIM(_xlfn._xlws.FILTER(_xlpm.thd,_xlpm.thm)),_xlfn.MAP(_xlpm.txt,_xlfn.LAMBDA(_xlpm.t,INDEX(_xlfn.TEXTSPLIT(_xlpm.t," "),1,3))))</f>
        <v>#VALUE!</v>
      </c>
      <c r="L2" s="4" t="e" cm="1" vm="1">
        <f t="array" ref="L2">_xlfn.LET(_xlpm.thd,$C$2:$C$100000,_xlpm.thm,((LEFT(TRIM(_xlpm.thd),1)="B")+(LEFT(TRIM(_xlpm.thd),1)="S"))*NOT(ISNUMBER(SEARCH("transfer",_xlpm.thd)))*NOT(ISNUMBER(SEARCH("tsfer",_xlpm.thd))),_xlpm.txt,TRIM(_xlfn._xlws.FILTER(_xlpm.thd,_xlpm.thm)),VALUE(_xlfn.MAP(_xlpm.txt,_xlfn.LAMBDA(_xlpm.t,INDEX(_xlfn.TEXTSPLIT(_xlpm.t," "),1,2)))))</f>
        <v>#VALUE!</v>
      </c>
      <c r="M2" s="5" t="e" cm="1" vm="1">
        <f t="array" ref="M2">_xlfn.LET(_xlpm.thd,$C$2:$C$100000,_xlpm.thm,((LEFT(TRIM(_xlpm.thd),1)="B")+(LEFT(TRIM(_xlpm.thd),1)="S"))*NOT(ISNUMBER(SEARCH("transfer",_xlpm.thd)))*NOT(ISNUMBER(SEARCH("tsfer",_xlpm.thd))),_xlpm.txt,TRIM(_xlfn._xlws.FILTER(_xlpm.thd,_xlpm.thm)),_xlpm.atPos,FIND("@",_xlpm.txt),VALUE(TRIM(MID(_xlpm.txt,_xlpm.atPos+1,20))))</f>
        <v>#VALUE!</v>
      </c>
      <c r="N2" s="6" t="e" cm="1" vm="2">
        <f t="array" ref="N2">IF(_xlfn.ANCHORARRAY($J$2)="S",_xlfn.ANCHORARRAY($L$2)*_xlfn.ANCHORARRAY($M$2)-_xlfn.ANCHORARRAY($O$2),_xlfn.ANCHORARRAY($O$2)-_xlfn.ANCHORARRAY($L$2)*_xlfn.ANCHORARRAY($M$2))</f>
        <v>#VALUE!</v>
      </c>
      <c r="O2" s="6" t="e" cm="1" vm="1">
        <f t="array" ref="O2">_xlfn.LET(_xlpm.thd,$C$2:$C$100000,_xlpm.thm,((LEFT(TRIM(_xlpm.thd),1)="B")+(LEFT(TRIM(_xlpm.thd),1)="S"))*NOT(ISNUMBER(SEARCH("transfer",_xlpm.thd)))*NOT(ISNUMBER(SEARCH("tsfer",_xlpm.thd))),_xlpm.deb,_xlfn._xlws.FILTER($D$2:$D$100000,_xlpm.thm),_xlpm.cred,_xlfn._xlws.FILTER($E$2:$E$100000,_xlpm.thm),IF(_xlpm.deb&lt;&gt;"",_xlpm.deb,_xlpm.cred))</f>
        <v>#VALUE!</v>
      </c>
    </row>
    <row r="3" spans="1:15" x14ac:dyDescent="0.35">
      <c r="A3" s="52"/>
      <c r="I3" s="80"/>
      <c r="J3" s="81"/>
      <c r="K3" s="81"/>
      <c r="L3" s="82"/>
      <c r="M3" s="83"/>
      <c r="N3" s="84"/>
      <c r="O3" s="84"/>
    </row>
    <row r="4" spans="1:15" x14ac:dyDescent="0.35">
      <c r="A4" s="52"/>
      <c r="I4" s="80"/>
      <c r="J4" s="81"/>
      <c r="K4" s="81"/>
      <c r="L4" s="82"/>
      <c r="M4" s="83"/>
      <c r="N4" s="84"/>
      <c r="O4" s="84"/>
    </row>
    <row r="5" spans="1:15" x14ac:dyDescent="0.35">
      <c r="A5" s="52"/>
      <c r="I5" s="80"/>
      <c r="J5" s="81"/>
      <c r="K5" s="81"/>
      <c r="L5" s="82"/>
      <c r="M5" s="83"/>
      <c r="N5" s="84"/>
      <c r="O5" s="84"/>
    </row>
    <row r="6" spans="1:15" x14ac:dyDescent="0.35">
      <c r="A6" s="52"/>
      <c r="I6" s="80"/>
      <c r="J6" s="81"/>
      <c r="K6" s="81"/>
      <c r="L6" s="82"/>
      <c r="M6" s="83"/>
      <c r="N6" s="84"/>
      <c r="O6" s="84"/>
    </row>
    <row r="7" spans="1:15" x14ac:dyDescent="0.35">
      <c r="A7" s="52"/>
      <c r="I7" s="80"/>
      <c r="J7" s="81"/>
      <c r="K7" s="81"/>
      <c r="L7" s="82"/>
      <c r="M7" s="83"/>
      <c r="N7" s="84"/>
      <c r="O7" s="84"/>
    </row>
    <row r="8" spans="1:15" x14ac:dyDescent="0.35">
      <c r="A8" s="52"/>
      <c r="I8" s="80"/>
      <c r="J8" s="81"/>
      <c r="K8" s="81"/>
      <c r="L8" s="82"/>
      <c r="M8" s="83"/>
      <c r="N8" s="84"/>
      <c r="O8" s="84"/>
    </row>
    <row r="9" spans="1:15" x14ac:dyDescent="0.35">
      <c r="A9" s="52"/>
      <c r="I9" s="80"/>
      <c r="J9" s="81"/>
      <c r="K9" s="81"/>
      <c r="L9" s="82"/>
      <c r="M9" s="83"/>
      <c r="N9" s="84"/>
      <c r="O9" s="84"/>
    </row>
    <row r="10" spans="1:15" x14ac:dyDescent="0.35">
      <c r="A10" s="52"/>
      <c r="I10" s="80"/>
      <c r="J10" s="81"/>
      <c r="K10" s="81"/>
      <c r="L10" s="82"/>
      <c r="M10" s="83"/>
      <c r="N10" s="84"/>
      <c r="O10" s="84"/>
    </row>
    <row r="11" spans="1:15" x14ac:dyDescent="0.35">
      <c r="A11" s="52"/>
      <c r="I11" s="80"/>
      <c r="J11" s="81"/>
      <c r="K11" s="81"/>
      <c r="L11" s="82"/>
      <c r="M11" s="83"/>
      <c r="N11" s="84"/>
      <c r="O11" s="84"/>
    </row>
    <row r="12" spans="1:15" x14ac:dyDescent="0.35">
      <c r="A12" s="52"/>
      <c r="I12" s="80"/>
      <c r="J12" s="81"/>
      <c r="K12" s="81"/>
      <c r="L12" s="82"/>
      <c r="M12" s="83"/>
      <c r="N12" s="84"/>
      <c r="O12" s="84"/>
    </row>
    <row r="13" spans="1:15" x14ac:dyDescent="0.35">
      <c r="A13" s="52"/>
      <c r="I13" s="80"/>
      <c r="J13" s="81"/>
      <c r="K13" s="81"/>
      <c r="L13" s="82"/>
      <c r="M13" s="83"/>
      <c r="N13" s="84"/>
      <c r="O13" s="84"/>
    </row>
    <row r="14" spans="1:15" x14ac:dyDescent="0.35">
      <c r="A14" s="52"/>
      <c r="I14" s="80"/>
      <c r="J14" s="81"/>
      <c r="K14" s="81"/>
      <c r="L14" s="82"/>
      <c r="M14" s="83"/>
      <c r="N14" s="84"/>
      <c r="O14" s="84"/>
    </row>
    <row r="15" spans="1:15" x14ac:dyDescent="0.35">
      <c r="A15" s="52"/>
      <c r="I15" s="80"/>
      <c r="J15" s="81"/>
      <c r="K15" s="81"/>
      <c r="L15" s="82"/>
      <c r="M15" s="83"/>
      <c r="N15" s="84"/>
      <c r="O15" s="84"/>
    </row>
    <row r="16" spans="1:15" x14ac:dyDescent="0.35">
      <c r="A16" s="52"/>
      <c r="I16" s="80"/>
      <c r="J16" s="81"/>
      <c r="K16" s="81"/>
      <c r="L16" s="82"/>
      <c r="M16" s="83"/>
      <c r="N16" s="84"/>
      <c r="O16" s="84"/>
    </row>
    <row r="17" spans="1:15" x14ac:dyDescent="0.35">
      <c r="A17" s="52"/>
      <c r="I17" s="80"/>
      <c r="J17" s="81"/>
      <c r="K17" s="81"/>
      <c r="L17" s="82"/>
      <c r="M17" s="83"/>
      <c r="N17" s="84"/>
      <c r="O17" s="84"/>
    </row>
    <row r="18" spans="1:15" x14ac:dyDescent="0.35">
      <c r="A18" s="52"/>
      <c r="I18" s="80"/>
      <c r="J18" s="81"/>
      <c r="K18" s="81"/>
      <c r="L18" s="82"/>
      <c r="M18" s="83"/>
      <c r="N18" s="84"/>
      <c r="O18" s="84"/>
    </row>
    <row r="19" spans="1:15" x14ac:dyDescent="0.35">
      <c r="A19" s="52"/>
      <c r="I19" s="80"/>
      <c r="J19" s="81"/>
      <c r="K19" s="81"/>
      <c r="L19" s="82"/>
      <c r="M19" s="83"/>
      <c r="N19" s="84"/>
      <c r="O19" s="84"/>
    </row>
    <row r="20" spans="1:15" x14ac:dyDescent="0.35">
      <c r="A20" s="52"/>
      <c r="I20" s="80"/>
      <c r="J20" s="81"/>
      <c r="K20" s="81"/>
      <c r="L20" s="82"/>
      <c r="M20" s="83"/>
      <c r="N20" s="84"/>
      <c r="O20" s="84"/>
    </row>
    <row r="21" spans="1:15" x14ac:dyDescent="0.35">
      <c r="A21" s="52"/>
      <c r="I21" s="80"/>
      <c r="J21" s="81"/>
      <c r="K21" s="81"/>
      <c r="L21" s="82"/>
      <c r="M21" s="83"/>
      <c r="N21" s="84"/>
      <c r="O21" s="84"/>
    </row>
    <row r="22" spans="1:15" x14ac:dyDescent="0.35">
      <c r="A22" s="52"/>
      <c r="I22" s="80"/>
      <c r="J22" s="81"/>
      <c r="K22" s="81"/>
      <c r="L22" s="82"/>
      <c r="M22" s="83"/>
      <c r="N22" s="84"/>
      <c r="O22" s="84"/>
    </row>
    <row r="23" spans="1:15" x14ac:dyDescent="0.35">
      <c r="A23" s="52"/>
      <c r="I23" s="80"/>
      <c r="J23" s="81"/>
      <c r="K23" s="81"/>
      <c r="L23" s="82"/>
      <c r="M23" s="83"/>
      <c r="N23" s="84"/>
      <c r="O23" s="84"/>
    </row>
    <row r="24" spans="1:15" x14ac:dyDescent="0.35">
      <c r="A24" s="52"/>
      <c r="I24" s="80"/>
      <c r="J24" s="81"/>
      <c r="K24" s="81"/>
      <c r="L24" s="82"/>
      <c r="M24" s="83"/>
      <c r="N24" s="84"/>
      <c r="O24" s="84"/>
    </row>
    <row r="25" spans="1:15" x14ac:dyDescent="0.35">
      <c r="A25" s="52"/>
      <c r="I25" s="80"/>
      <c r="J25" s="81"/>
      <c r="K25" s="81"/>
      <c r="L25" s="82"/>
      <c r="M25" s="83"/>
      <c r="N25" s="84"/>
      <c r="O25" s="84"/>
    </row>
    <row r="26" spans="1:15" x14ac:dyDescent="0.35">
      <c r="A26" s="52"/>
      <c r="I26" s="80"/>
      <c r="J26" s="81"/>
      <c r="K26" s="81"/>
      <c r="L26" s="82"/>
      <c r="M26" s="83"/>
      <c r="N26" s="84"/>
      <c r="O26" s="84"/>
    </row>
    <row r="27" spans="1:15" x14ac:dyDescent="0.35">
      <c r="A27" s="52"/>
      <c r="I27" s="80"/>
      <c r="J27" s="81"/>
      <c r="K27" s="81"/>
      <c r="L27" s="82"/>
      <c r="M27" s="83"/>
      <c r="N27" s="84"/>
      <c r="O27" s="84"/>
    </row>
    <row r="28" spans="1:15" x14ac:dyDescent="0.35">
      <c r="A28" s="52"/>
      <c r="I28" s="80"/>
      <c r="J28" s="81"/>
      <c r="K28" s="81"/>
      <c r="L28" s="82"/>
      <c r="M28" s="83"/>
      <c r="N28" s="84"/>
      <c r="O28" s="84"/>
    </row>
    <row r="29" spans="1:15" x14ac:dyDescent="0.35">
      <c r="A29" s="52"/>
      <c r="I29" s="80"/>
      <c r="J29" s="81"/>
      <c r="K29" s="81"/>
      <c r="L29" s="82"/>
      <c r="M29" s="83"/>
      <c r="N29" s="84"/>
      <c r="O29" s="84"/>
    </row>
    <row r="30" spans="1:15" x14ac:dyDescent="0.35">
      <c r="A30" s="52"/>
      <c r="I30" s="80"/>
      <c r="J30" s="81"/>
      <c r="K30" s="81"/>
      <c r="L30" s="82"/>
      <c r="M30" s="83"/>
      <c r="N30" s="84"/>
      <c r="O30" s="84"/>
    </row>
    <row r="31" spans="1:15" x14ac:dyDescent="0.35">
      <c r="A31" s="52"/>
      <c r="I31" s="80"/>
      <c r="J31" s="81"/>
      <c r="K31" s="81"/>
      <c r="L31" s="82"/>
      <c r="M31" s="83"/>
      <c r="N31" s="84"/>
      <c r="O31" s="84"/>
    </row>
    <row r="32" spans="1:15" x14ac:dyDescent="0.35">
      <c r="A32" s="52"/>
      <c r="I32" s="80"/>
      <c r="J32" s="81"/>
      <c r="K32" s="81"/>
      <c r="L32" s="82"/>
      <c r="M32" s="83"/>
      <c r="N32" s="84"/>
      <c r="O32" s="84"/>
    </row>
    <row r="33" spans="1:15" x14ac:dyDescent="0.35">
      <c r="A33" s="52"/>
      <c r="I33" s="80"/>
      <c r="J33" s="81"/>
      <c r="K33" s="81"/>
      <c r="L33" s="82"/>
      <c r="M33" s="83"/>
      <c r="N33" s="84"/>
      <c r="O33" s="84"/>
    </row>
    <row r="34" spans="1:15" x14ac:dyDescent="0.35">
      <c r="A34" s="52"/>
      <c r="I34" s="80"/>
      <c r="J34" s="81"/>
      <c r="K34" s="81"/>
      <c r="L34" s="82"/>
      <c r="M34" s="83"/>
      <c r="N34" s="84"/>
      <c r="O34" s="84"/>
    </row>
    <row r="35" spans="1:15" x14ac:dyDescent="0.35">
      <c r="A35" s="52"/>
      <c r="I35" s="80"/>
      <c r="J35" s="81"/>
      <c r="K35" s="81"/>
      <c r="L35" s="82"/>
      <c r="M35" s="83"/>
      <c r="N35" s="84"/>
      <c r="O35" s="84"/>
    </row>
    <row r="36" spans="1:15" x14ac:dyDescent="0.35">
      <c r="A36" s="52"/>
      <c r="I36" s="80"/>
      <c r="J36" s="81"/>
      <c r="K36" s="81"/>
      <c r="L36" s="82"/>
      <c r="M36" s="83"/>
      <c r="N36" s="84"/>
      <c r="O36" s="84"/>
    </row>
    <row r="37" spans="1:15" x14ac:dyDescent="0.35">
      <c r="A37" s="52"/>
      <c r="I37" s="80"/>
      <c r="J37" s="81"/>
      <c r="K37" s="81"/>
      <c r="L37" s="82"/>
      <c r="M37" s="83"/>
      <c r="N37" s="84"/>
      <c r="O37" s="84"/>
    </row>
    <row r="38" spans="1:15" x14ac:dyDescent="0.35">
      <c r="A38" s="52"/>
      <c r="I38" s="80"/>
      <c r="J38" s="81"/>
      <c r="K38" s="81"/>
      <c r="L38" s="82"/>
      <c r="M38" s="83"/>
      <c r="N38" s="84"/>
      <c r="O38" s="84"/>
    </row>
    <row r="39" spans="1:15" x14ac:dyDescent="0.35">
      <c r="A39" s="52"/>
      <c r="I39" s="80"/>
      <c r="J39" s="81"/>
      <c r="K39" s="81"/>
      <c r="L39" s="82"/>
      <c r="M39" s="83"/>
      <c r="N39" s="84"/>
      <c r="O39" s="84"/>
    </row>
    <row r="40" spans="1:15" x14ac:dyDescent="0.35">
      <c r="A40" s="52"/>
      <c r="I40" s="80"/>
      <c r="J40" s="81"/>
      <c r="K40" s="81"/>
      <c r="L40" s="82"/>
      <c r="M40" s="83"/>
      <c r="N40" s="84"/>
      <c r="O40" s="84"/>
    </row>
    <row r="41" spans="1:15" x14ac:dyDescent="0.35">
      <c r="A41" s="52"/>
      <c r="I41" s="80"/>
      <c r="J41" s="81"/>
      <c r="K41" s="81"/>
      <c r="L41" s="82"/>
      <c r="M41" s="83"/>
      <c r="N41" s="84"/>
      <c r="O41" s="84"/>
    </row>
    <row r="42" spans="1:15" x14ac:dyDescent="0.35">
      <c r="A42" s="52"/>
      <c r="I42" s="80"/>
      <c r="J42" s="81"/>
      <c r="K42" s="81"/>
      <c r="L42" s="82"/>
      <c r="M42" s="83"/>
      <c r="N42" s="84"/>
      <c r="O42" s="84"/>
    </row>
    <row r="43" spans="1:15" x14ac:dyDescent="0.35">
      <c r="A43" s="52"/>
      <c r="I43" s="80"/>
      <c r="J43" s="81"/>
      <c r="K43" s="81"/>
      <c r="L43" s="82"/>
      <c r="M43" s="83"/>
      <c r="N43" s="84"/>
      <c r="O43" s="84"/>
    </row>
    <row r="44" spans="1:15" x14ac:dyDescent="0.35">
      <c r="A44" s="52"/>
      <c r="I44" s="80"/>
      <c r="J44" s="81"/>
      <c r="K44" s="81"/>
      <c r="L44" s="82"/>
      <c r="M44" s="83"/>
      <c r="N44" s="84"/>
      <c r="O44" s="84"/>
    </row>
    <row r="45" spans="1:15" x14ac:dyDescent="0.35">
      <c r="A45" s="52"/>
      <c r="I45" s="80"/>
      <c r="J45" s="81"/>
      <c r="K45" s="81"/>
      <c r="L45" s="82"/>
      <c r="M45" s="83"/>
      <c r="N45" s="84"/>
      <c r="O45" s="84"/>
    </row>
    <row r="46" spans="1:15" x14ac:dyDescent="0.35">
      <c r="A46" s="52"/>
      <c r="I46" s="80"/>
      <c r="J46" s="81"/>
      <c r="K46" s="81"/>
      <c r="L46" s="82"/>
      <c r="M46" s="83"/>
      <c r="N46" s="84"/>
      <c r="O46" s="84"/>
    </row>
    <row r="47" spans="1:15" x14ac:dyDescent="0.35">
      <c r="A47" s="52"/>
      <c r="I47" s="80"/>
      <c r="J47" s="81"/>
      <c r="K47" s="81"/>
      <c r="L47" s="82"/>
      <c r="M47" s="83"/>
      <c r="N47" s="84"/>
      <c r="O47" s="84"/>
    </row>
    <row r="48" spans="1:15" x14ac:dyDescent="0.35">
      <c r="A48" s="52"/>
      <c r="I48" s="80"/>
      <c r="J48" s="81"/>
      <c r="K48" s="81"/>
      <c r="L48" s="82"/>
      <c r="M48" s="83"/>
      <c r="N48" s="84"/>
      <c r="O48" s="84"/>
    </row>
    <row r="49" spans="1:15" x14ac:dyDescent="0.35">
      <c r="A49" s="52"/>
      <c r="I49" s="80"/>
      <c r="J49" s="81"/>
      <c r="K49" s="81"/>
      <c r="L49" s="82"/>
      <c r="M49" s="83"/>
      <c r="N49" s="84"/>
      <c r="O49" s="84"/>
    </row>
    <row r="50" spans="1:15" x14ac:dyDescent="0.35">
      <c r="A50" s="52"/>
      <c r="I50" s="80"/>
      <c r="J50" s="81"/>
      <c r="K50" s="81"/>
      <c r="L50" s="82"/>
      <c r="M50" s="83"/>
      <c r="N50" s="84"/>
      <c r="O50" s="84"/>
    </row>
    <row r="51" spans="1:15" x14ac:dyDescent="0.35">
      <c r="A51" s="52"/>
      <c r="I51" s="80"/>
      <c r="J51" s="81"/>
      <c r="K51" s="81"/>
      <c r="L51" s="82"/>
      <c r="M51" s="83"/>
      <c r="N51" s="84"/>
      <c r="O51" s="84"/>
    </row>
    <row r="52" spans="1:15" x14ac:dyDescent="0.35">
      <c r="A52" s="52"/>
      <c r="I52" s="80"/>
      <c r="J52" s="81"/>
      <c r="K52" s="81"/>
      <c r="L52" s="82"/>
      <c r="M52" s="83"/>
      <c r="N52" s="84"/>
      <c r="O52" s="84"/>
    </row>
    <row r="53" spans="1:15" x14ac:dyDescent="0.35">
      <c r="A53" s="52"/>
      <c r="I53" s="80"/>
      <c r="J53" s="81"/>
      <c r="K53" s="81"/>
      <c r="L53" s="82"/>
      <c r="M53" s="83"/>
      <c r="N53" s="84"/>
      <c r="O53" s="84"/>
    </row>
    <row r="54" spans="1:15" x14ac:dyDescent="0.35">
      <c r="A54" s="52"/>
      <c r="I54" s="80"/>
      <c r="J54" s="81"/>
      <c r="K54" s="81"/>
      <c r="L54" s="82"/>
      <c r="M54" s="83"/>
      <c r="N54" s="84"/>
      <c r="O54" s="84"/>
    </row>
    <row r="55" spans="1:15" x14ac:dyDescent="0.35">
      <c r="A55" s="52"/>
      <c r="I55" s="80"/>
      <c r="J55" s="81"/>
      <c r="K55" s="81"/>
      <c r="L55" s="82"/>
      <c r="M55" s="83"/>
      <c r="N55" s="84"/>
      <c r="O55" s="84"/>
    </row>
    <row r="56" spans="1:15" x14ac:dyDescent="0.35">
      <c r="A56" s="52"/>
      <c r="I56" s="80"/>
      <c r="J56" s="81"/>
      <c r="K56" s="81"/>
      <c r="L56" s="82"/>
      <c r="M56" s="83"/>
      <c r="N56" s="84"/>
      <c r="O56" s="84"/>
    </row>
    <row r="57" spans="1:15" x14ac:dyDescent="0.35">
      <c r="A57" s="52"/>
      <c r="I57" s="80"/>
      <c r="J57" s="81"/>
      <c r="K57" s="81"/>
      <c r="L57" s="82"/>
      <c r="M57" s="83"/>
      <c r="N57" s="84"/>
      <c r="O57" s="84"/>
    </row>
    <row r="58" spans="1:15" x14ac:dyDescent="0.35">
      <c r="A58" s="52"/>
      <c r="I58" s="80"/>
      <c r="J58" s="81"/>
      <c r="K58" s="81"/>
      <c r="L58" s="82"/>
      <c r="M58" s="83"/>
      <c r="N58" s="84"/>
      <c r="O58" s="84"/>
    </row>
    <row r="59" spans="1:15" x14ac:dyDescent="0.35">
      <c r="A59" s="52"/>
      <c r="I59" s="80"/>
      <c r="J59" s="81"/>
      <c r="K59" s="81"/>
      <c r="L59" s="82"/>
      <c r="M59" s="83"/>
      <c r="N59" s="84"/>
      <c r="O59" s="84"/>
    </row>
    <row r="60" spans="1:15" x14ac:dyDescent="0.35">
      <c r="A60" s="52"/>
      <c r="I60" s="80"/>
      <c r="J60" s="81"/>
      <c r="K60" s="81"/>
      <c r="L60" s="82"/>
      <c r="M60" s="83"/>
      <c r="N60" s="84"/>
      <c r="O60" s="84"/>
    </row>
    <row r="61" spans="1:15" x14ac:dyDescent="0.35">
      <c r="A61" s="52"/>
      <c r="I61" s="80"/>
      <c r="J61" s="81"/>
      <c r="K61" s="81"/>
      <c r="L61" s="82"/>
      <c r="M61" s="83"/>
      <c r="N61" s="84"/>
      <c r="O61" s="84"/>
    </row>
    <row r="62" spans="1:15" x14ac:dyDescent="0.35">
      <c r="A62" s="52"/>
      <c r="I62" s="80"/>
      <c r="J62" s="81"/>
      <c r="K62" s="81"/>
      <c r="L62" s="82"/>
      <c r="M62" s="83"/>
      <c r="N62" s="84"/>
      <c r="O62" s="84"/>
    </row>
    <row r="63" spans="1:15" x14ac:dyDescent="0.35">
      <c r="A63" s="52"/>
      <c r="I63" s="80"/>
      <c r="J63" s="81"/>
      <c r="K63" s="81"/>
      <c r="L63" s="82"/>
      <c r="M63" s="83"/>
      <c r="N63" s="84"/>
      <c r="O63" s="84"/>
    </row>
    <row r="64" spans="1:15" x14ac:dyDescent="0.35">
      <c r="A64" s="52"/>
      <c r="I64" s="80"/>
      <c r="J64" s="81"/>
      <c r="K64" s="81"/>
      <c r="L64" s="82"/>
      <c r="M64" s="83"/>
      <c r="N64" s="84"/>
      <c r="O64" s="84"/>
    </row>
    <row r="65" spans="1:15" x14ac:dyDescent="0.35">
      <c r="A65" s="52"/>
      <c r="I65" s="80"/>
      <c r="J65" s="81"/>
      <c r="K65" s="81"/>
      <c r="L65" s="82"/>
      <c r="M65" s="83"/>
      <c r="N65" s="84"/>
      <c r="O65" s="84"/>
    </row>
    <row r="66" spans="1:15" x14ac:dyDescent="0.35">
      <c r="A66" s="52"/>
      <c r="I66" s="80"/>
      <c r="J66" s="81"/>
      <c r="K66" s="81"/>
      <c r="L66" s="82"/>
      <c r="M66" s="83"/>
      <c r="N66" s="84"/>
      <c r="O66" s="84"/>
    </row>
    <row r="67" spans="1:15" x14ac:dyDescent="0.35">
      <c r="A67" s="52"/>
      <c r="I67" s="80"/>
      <c r="J67" s="81"/>
      <c r="K67" s="81"/>
      <c r="L67" s="82"/>
      <c r="M67" s="83"/>
      <c r="N67" s="84"/>
      <c r="O67" s="84"/>
    </row>
    <row r="68" spans="1:15" x14ac:dyDescent="0.35">
      <c r="A68" s="52"/>
      <c r="I68" s="80"/>
      <c r="J68" s="81"/>
      <c r="K68" s="81"/>
      <c r="L68" s="82"/>
      <c r="M68" s="83"/>
      <c r="N68" s="84"/>
      <c r="O68" s="84"/>
    </row>
    <row r="69" spans="1:15" x14ac:dyDescent="0.35">
      <c r="A69" s="52"/>
      <c r="I69" s="80"/>
      <c r="J69" s="81"/>
      <c r="K69" s="81"/>
      <c r="L69" s="82"/>
      <c r="M69" s="83"/>
      <c r="N69" s="84"/>
      <c r="O69" s="84"/>
    </row>
    <row r="70" spans="1:15" x14ac:dyDescent="0.35">
      <c r="A70" s="52"/>
      <c r="I70" s="80"/>
      <c r="J70" s="81"/>
      <c r="K70" s="81"/>
      <c r="L70" s="82"/>
      <c r="M70" s="83"/>
      <c r="N70" s="84"/>
      <c r="O70" s="84"/>
    </row>
    <row r="71" spans="1:15" x14ac:dyDescent="0.35">
      <c r="A71" s="52"/>
      <c r="I71" s="80"/>
      <c r="J71" s="81"/>
      <c r="K71" s="81"/>
      <c r="L71" s="82"/>
      <c r="M71" s="83"/>
      <c r="N71" s="84"/>
      <c r="O71" s="84"/>
    </row>
    <row r="72" spans="1:15" x14ac:dyDescent="0.35">
      <c r="A72" s="52"/>
      <c r="I72" s="80"/>
      <c r="J72" s="81"/>
      <c r="K72" s="81"/>
      <c r="L72" s="82"/>
      <c r="M72" s="83"/>
      <c r="N72" s="84"/>
      <c r="O72" s="84"/>
    </row>
    <row r="73" spans="1:15" x14ac:dyDescent="0.35">
      <c r="A73" s="52"/>
      <c r="I73" s="80"/>
      <c r="J73" s="81"/>
      <c r="K73" s="81"/>
      <c r="L73" s="82"/>
      <c r="M73" s="83"/>
      <c r="N73" s="84"/>
      <c r="O73" s="84"/>
    </row>
    <row r="74" spans="1:15" x14ac:dyDescent="0.35">
      <c r="A74" s="52"/>
      <c r="I74" s="80"/>
      <c r="J74" s="81"/>
      <c r="K74" s="81"/>
      <c r="L74" s="82"/>
      <c r="M74" s="83"/>
      <c r="N74" s="84"/>
      <c r="O74" s="84"/>
    </row>
    <row r="75" spans="1:15" x14ac:dyDescent="0.35">
      <c r="A75" s="52"/>
      <c r="I75" s="80"/>
      <c r="J75" s="81"/>
      <c r="K75" s="81"/>
      <c r="L75" s="82"/>
      <c r="M75" s="83"/>
      <c r="N75" s="84"/>
      <c r="O75" s="84"/>
    </row>
    <row r="76" spans="1:15" x14ac:dyDescent="0.35">
      <c r="A76" s="52"/>
      <c r="I76" s="80"/>
      <c r="J76" s="81"/>
      <c r="K76" s="81"/>
      <c r="L76" s="82"/>
      <c r="M76" s="83"/>
      <c r="N76" s="84"/>
      <c r="O76" s="84"/>
    </row>
    <row r="77" spans="1:15" x14ac:dyDescent="0.35">
      <c r="A77" s="52"/>
      <c r="I77" s="80"/>
      <c r="J77" s="81"/>
      <c r="K77" s="81"/>
      <c r="L77" s="82"/>
      <c r="M77" s="83"/>
      <c r="N77" s="84"/>
      <c r="O77" s="84"/>
    </row>
    <row r="78" spans="1:15" x14ac:dyDescent="0.35">
      <c r="A78" s="52"/>
      <c r="I78" s="80"/>
      <c r="J78" s="81"/>
      <c r="K78" s="81"/>
      <c r="L78" s="82"/>
      <c r="M78" s="83"/>
      <c r="N78" s="84"/>
      <c r="O78" s="84"/>
    </row>
    <row r="79" spans="1:15" x14ac:dyDescent="0.35">
      <c r="A79" s="52"/>
      <c r="I79" s="80"/>
      <c r="J79" s="81"/>
      <c r="K79" s="81"/>
      <c r="L79" s="82"/>
      <c r="M79" s="83"/>
      <c r="N79" s="84"/>
      <c r="O79" s="84"/>
    </row>
    <row r="80" spans="1:15" x14ac:dyDescent="0.35">
      <c r="A80" s="52"/>
      <c r="I80" s="80"/>
      <c r="J80" s="81"/>
      <c r="K80" s="81"/>
      <c r="L80" s="82"/>
      <c r="M80" s="83"/>
      <c r="N80" s="84"/>
      <c r="O80" s="84"/>
    </row>
    <row r="81" spans="1:15" x14ac:dyDescent="0.35">
      <c r="A81" s="52"/>
      <c r="I81" s="80"/>
      <c r="J81" s="81"/>
      <c r="K81" s="81"/>
      <c r="L81" s="82"/>
      <c r="M81" s="83"/>
      <c r="N81" s="84"/>
      <c r="O81" s="84"/>
    </row>
    <row r="82" spans="1:15" x14ac:dyDescent="0.35">
      <c r="A82" s="52"/>
      <c r="I82" s="80"/>
      <c r="J82" s="81"/>
      <c r="K82" s="81"/>
      <c r="L82" s="82"/>
      <c r="M82" s="83"/>
      <c r="N82" s="84"/>
      <c r="O82" s="84"/>
    </row>
    <row r="83" spans="1:15" x14ac:dyDescent="0.35">
      <c r="A83" s="52"/>
      <c r="I83" s="80"/>
      <c r="J83" s="81"/>
      <c r="K83" s="81"/>
      <c r="L83" s="82"/>
      <c r="M83" s="83"/>
      <c r="N83" s="84"/>
      <c r="O83" s="84"/>
    </row>
    <row r="84" spans="1:15" x14ac:dyDescent="0.35">
      <c r="A84" s="52"/>
      <c r="I84" s="80"/>
      <c r="J84" s="81"/>
      <c r="K84" s="81"/>
      <c r="L84" s="82"/>
      <c r="M84" s="83"/>
      <c r="N84" s="84"/>
      <c r="O84" s="84"/>
    </row>
    <row r="85" spans="1:15" x14ac:dyDescent="0.35">
      <c r="A85" s="52"/>
      <c r="I85" s="80"/>
      <c r="J85" s="81"/>
      <c r="K85" s="81"/>
      <c r="L85" s="82"/>
      <c r="M85" s="83"/>
      <c r="N85" s="84"/>
      <c r="O85" s="84"/>
    </row>
    <row r="86" spans="1:15" x14ac:dyDescent="0.35">
      <c r="A86" s="52"/>
      <c r="I86" s="80"/>
      <c r="J86" s="81"/>
      <c r="K86" s="81"/>
      <c r="L86" s="82"/>
      <c r="M86" s="83"/>
      <c r="N86" s="84"/>
      <c r="O86" s="84"/>
    </row>
    <row r="87" spans="1:15" x14ac:dyDescent="0.35">
      <c r="A87" s="52"/>
      <c r="I87" s="80"/>
      <c r="J87" s="81"/>
      <c r="K87" s="81"/>
      <c r="L87" s="82"/>
      <c r="M87" s="83"/>
      <c r="N87" s="84"/>
      <c r="O87" s="84"/>
    </row>
    <row r="88" spans="1:15" x14ac:dyDescent="0.35">
      <c r="A88" s="52"/>
      <c r="I88" s="80"/>
      <c r="J88" s="81"/>
      <c r="K88" s="81"/>
      <c r="L88" s="82"/>
      <c r="M88" s="83"/>
      <c r="N88" s="84"/>
      <c r="O88" s="84"/>
    </row>
    <row r="89" spans="1:15" x14ac:dyDescent="0.35">
      <c r="A89" s="52"/>
      <c r="I89" s="80"/>
      <c r="J89" s="81"/>
      <c r="K89" s="81"/>
      <c r="L89" s="82"/>
      <c r="M89" s="83"/>
      <c r="N89" s="84"/>
      <c r="O89" s="84"/>
    </row>
    <row r="90" spans="1:15" x14ac:dyDescent="0.35">
      <c r="A90" s="52"/>
      <c r="I90" s="80"/>
      <c r="J90" s="81"/>
      <c r="K90" s="81"/>
      <c r="L90" s="82"/>
      <c r="M90" s="83"/>
      <c r="N90" s="84"/>
      <c r="O90" s="84"/>
    </row>
    <row r="91" spans="1:15" x14ac:dyDescent="0.35">
      <c r="A91" s="52"/>
      <c r="I91" s="80"/>
      <c r="J91" s="81"/>
      <c r="K91" s="81"/>
      <c r="L91" s="82"/>
      <c r="M91" s="83"/>
      <c r="N91" s="84"/>
      <c r="O91" s="84"/>
    </row>
    <row r="92" spans="1:15" x14ac:dyDescent="0.35">
      <c r="A92" s="52"/>
      <c r="I92" s="80"/>
      <c r="J92" s="81"/>
      <c r="K92" s="81"/>
      <c r="L92" s="82"/>
      <c r="M92" s="83"/>
      <c r="N92" s="84"/>
      <c r="O92" s="84"/>
    </row>
    <row r="93" spans="1:15" x14ac:dyDescent="0.35">
      <c r="A93" s="52"/>
      <c r="I93" s="80"/>
      <c r="J93" s="81"/>
      <c r="K93" s="81"/>
      <c r="L93" s="82"/>
      <c r="M93" s="83"/>
      <c r="N93" s="84"/>
      <c r="O93" s="84"/>
    </row>
    <row r="94" spans="1:15" x14ac:dyDescent="0.35">
      <c r="A94" s="52"/>
      <c r="I94" s="80"/>
      <c r="J94" s="81"/>
      <c r="K94" s="81"/>
      <c r="L94" s="82"/>
      <c r="M94" s="83"/>
      <c r="N94" s="84"/>
      <c r="O94" s="84"/>
    </row>
    <row r="95" spans="1:15" x14ac:dyDescent="0.35">
      <c r="A95" s="52"/>
      <c r="I95" s="80"/>
      <c r="J95" s="81"/>
      <c r="K95" s="81"/>
      <c r="L95" s="82"/>
      <c r="M95" s="83"/>
      <c r="N95" s="84"/>
      <c r="O95" s="84"/>
    </row>
    <row r="96" spans="1:15" x14ac:dyDescent="0.35">
      <c r="A96" s="52"/>
      <c r="I96" s="80"/>
      <c r="J96" s="81"/>
      <c r="K96" s="81"/>
      <c r="L96" s="82"/>
      <c r="M96" s="83"/>
      <c r="N96" s="84"/>
      <c r="O96" s="84"/>
    </row>
    <row r="97" spans="1:15" x14ac:dyDescent="0.35">
      <c r="A97" s="52"/>
      <c r="I97" s="80"/>
      <c r="J97" s="81"/>
      <c r="K97" s="81"/>
      <c r="L97" s="82"/>
      <c r="M97" s="83"/>
      <c r="N97" s="84"/>
      <c r="O97" s="84"/>
    </row>
    <row r="98" spans="1:15" x14ac:dyDescent="0.35">
      <c r="A98" s="52"/>
      <c r="I98" s="80"/>
      <c r="J98" s="81"/>
      <c r="K98" s="81"/>
      <c r="L98" s="82"/>
      <c r="M98" s="83"/>
      <c r="N98" s="84"/>
      <c r="O98" s="84"/>
    </row>
    <row r="99" spans="1:15" x14ac:dyDescent="0.35">
      <c r="A99" s="52"/>
      <c r="I99" s="80"/>
      <c r="J99" s="81"/>
      <c r="K99" s="81"/>
      <c r="L99" s="82"/>
      <c r="M99" s="83"/>
      <c r="N99" s="84"/>
      <c r="O99" s="84"/>
    </row>
    <row r="100" spans="1:15" x14ac:dyDescent="0.35">
      <c r="A100" s="52"/>
      <c r="I100" s="80"/>
      <c r="J100" s="81"/>
      <c r="K100" s="81"/>
      <c r="L100" s="82"/>
      <c r="M100" s="83"/>
      <c r="N100" s="84"/>
      <c r="O100" s="84"/>
    </row>
    <row r="101" spans="1:15" x14ac:dyDescent="0.35">
      <c r="A101" s="52"/>
      <c r="I101" s="80"/>
      <c r="J101" s="81"/>
      <c r="K101" s="81"/>
      <c r="L101" s="82"/>
      <c r="M101" s="83"/>
      <c r="N101" s="84"/>
      <c r="O101" s="84"/>
    </row>
    <row r="102" spans="1:15" x14ac:dyDescent="0.35">
      <c r="A102" s="52"/>
      <c r="I102" s="80"/>
      <c r="J102" s="81"/>
      <c r="K102" s="81"/>
      <c r="L102" s="82"/>
      <c r="M102" s="83"/>
      <c r="N102" s="84"/>
      <c r="O102" s="84"/>
    </row>
    <row r="103" spans="1:15" x14ac:dyDescent="0.35">
      <c r="A103" s="52"/>
      <c r="I103" s="80"/>
      <c r="J103" s="81"/>
      <c r="K103" s="81"/>
      <c r="L103" s="82"/>
      <c r="M103" s="83"/>
      <c r="N103" s="84"/>
      <c r="O103" s="84"/>
    </row>
    <row r="104" spans="1:15" x14ac:dyDescent="0.35">
      <c r="A104" s="52"/>
      <c r="I104" s="80"/>
      <c r="J104" s="81"/>
      <c r="K104" s="81"/>
      <c r="L104" s="82"/>
      <c r="M104" s="83"/>
      <c r="N104" s="84"/>
      <c r="O104" s="84"/>
    </row>
    <row r="105" spans="1:15" x14ac:dyDescent="0.35">
      <c r="A105" s="52"/>
      <c r="I105" s="80"/>
      <c r="J105" s="81"/>
      <c r="K105" s="81"/>
      <c r="L105" s="82"/>
      <c r="M105" s="83"/>
      <c r="N105" s="84"/>
      <c r="O105" s="84"/>
    </row>
    <row r="106" spans="1:15" x14ac:dyDescent="0.35">
      <c r="A106" s="52"/>
      <c r="I106" s="80"/>
      <c r="J106" s="81"/>
      <c r="K106" s="81"/>
      <c r="L106" s="82"/>
      <c r="M106" s="83"/>
      <c r="N106" s="84"/>
      <c r="O106" s="84"/>
    </row>
    <row r="107" spans="1:15" x14ac:dyDescent="0.35">
      <c r="A107" s="52"/>
      <c r="I107" s="80"/>
      <c r="J107" s="81"/>
      <c r="K107" s="81"/>
      <c r="L107" s="82"/>
      <c r="M107" s="83"/>
      <c r="N107" s="84"/>
      <c r="O107" s="84"/>
    </row>
    <row r="108" spans="1:15" x14ac:dyDescent="0.35">
      <c r="A108" s="52"/>
      <c r="I108" s="80"/>
      <c r="J108" s="81"/>
      <c r="K108" s="81"/>
      <c r="L108" s="82"/>
      <c r="M108" s="83"/>
      <c r="N108" s="84"/>
      <c r="O108" s="84"/>
    </row>
    <row r="109" spans="1:15" x14ac:dyDescent="0.35">
      <c r="A109" s="52"/>
      <c r="I109" s="80"/>
      <c r="J109" s="81"/>
      <c r="K109" s="81"/>
      <c r="L109" s="82"/>
      <c r="M109" s="83"/>
      <c r="N109" s="84"/>
      <c r="O109" s="84"/>
    </row>
    <row r="110" spans="1:15" x14ac:dyDescent="0.35">
      <c r="A110" s="52"/>
      <c r="I110" s="80"/>
      <c r="J110" s="81"/>
      <c r="K110" s="81"/>
      <c r="L110" s="82"/>
      <c r="M110" s="83"/>
      <c r="N110" s="84"/>
      <c r="O110" s="84"/>
    </row>
    <row r="111" spans="1:15" x14ac:dyDescent="0.35">
      <c r="A111" s="52"/>
      <c r="I111" s="80"/>
      <c r="J111" s="81"/>
      <c r="K111" s="81"/>
      <c r="L111" s="82"/>
      <c r="M111" s="83"/>
      <c r="N111" s="84"/>
      <c r="O111" s="84"/>
    </row>
    <row r="112" spans="1:15" x14ac:dyDescent="0.35">
      <c r="A112" s="52"/>
      <c r="I112" s="80"/>
      <c r="J112" s="81"/>
      <c r="K112" s="81"/>
      <c r="L112" s="82"/>
      <c r="M112" s="83"/>
      <c r="N112" s="84"/>
      <c r="O112" s="84"/>
    </row>
    <row r="113" spans="1:15" x14ac:dyDescent="0.35">
      <c r="A113" s="52"/>
      <c r="I113" s="80"/>
      <c r="J113" s="81"/>
      <c r="K113" s="81"/>
      <c r="L113" s="82"/>
      <c r="M113" s="83"/>
      <c r="N113" s="84"/>
      <c r="O113" s="84"/>
    </row>
    <row r="114" spans="1:15" x14ac:dyDescent="0.35">
      <c r="A114" s="52"/>
      <c r="I114" s="80"/>
      <c r="J114" s="81"/>
      <c r="K114" s="81"/>
      <c r="L114" s="82"/>
      <c r="M114" s="83"/>
      <c r="N114" s="84"/>
      <c r="O114" s="84"/>
    </row>
    <row r="115" spans="1:15" x14ac:dyDescent="0.35">
      <c r="A115" s="52"/>
      <c r="I115" s="80"/>
      <c r="J115" s="81"/>
      <c r="K115" s="81"/>
      <c r="L115" s="82"/>
      <c r="M115" s="83"/>
      <c r="N115" s="84"/>
      <c r="O115" s="84"/>
    </row>
    <row r="116" spans="1:15" x14ac:dyDescent="0.35">
      <c r="A116" s="52"/>
      <c r="I116" s="80"/>
      <c r="J116" s="81"/>
      <c r="K116" s="81"/>
      <c r="L116" s="82"/>
      <c r="M116" s="83"/>
      <c r="N116" s="84"/>
      <c r="O116" s="84"/>
    </row>
    <row r="117" spans="1:15" x14ac:dyDescent="0.35">
      <c r="A117" s="52"/>
      <c r="I117" s="80"/>
      <c r="J117" s="81"/>
      <c r="K117" s="81"/>
      <c r="L117" s="82"/>
      <c r="M117" s="83"/>
      <c r="N117" s="84"/>
      <c r="O117" s="84"/>
    </row>
    <row r="118" spans="1:15" x14ac:dyDescent="0.35">
      <c r="A118" s="52"/>
      <c r="I118" s="80"/>
      <c r="J118" s="81"/>
      <c r="K118" s="81"/>
      <c r="L118" s="82"/>
      <c r="M118" s="83"/>
      <c r="N118" s="84"/>
      <c r="O118" s="84"/>
    </row>
    <row r="119" spans="1:15" x14ac:dyDescent="0.35">
      <c r="A119" s="52"/>
      <c r="I119" s="80"/>
      <c r="J119" s="81"/>
      <c r="K119" s="81"/>
      <c r="L119" s="82"/>
      <c r="M119" s="83"/>
      <c r="N119" s="84"/>
      <c r="O119" s="84"/>
    </row>
    <row r="120" spans="1:15" x14ac:dyDescent="0.35">
      <c r="A120" s="52"/>
      <c r="I120" s="80"/>
      <c r="J120" s="81"/>
      <c r="K120" s="81"/>
      <c r="L120" s="82"/>
      <c r="M120" s="83"/>
      <c r="N120" s="84"/>
      <c r="O120" s="84"/>
    </row>
    <row r="121" spans="1:15" x14ac:dyDescent="0.35">
      <c r="A121" s="52"/>
      <c r="I121" s="80"/>
      <c r="J121" s="81"/>
      <c r="K121" s="81"/>
      <c r="L121" s="82"/>
      <c r="M121" s="83"/>
      <c r="N121" s="84"/>
      <c r="O121" s="84"/>
    </row>
    <row r="122" spans="1:15" x14ac:dyDescent="0.35">
      <c r="A122" s="52"/>
      <c r="I122" s="80"/>
      <c r="J122" s="81"/>
      <c r="K122" s="81"/>
      <c r="L122" s="82"/>
      <c r="M122" s="83"/>
      <c r="N122" s="84"/>
      <c r="O122" s="84"/>
    </row>
    <row r="123" spans="1:15" x14ac:dyDescent="0.35">
      <c r="A123" s="52"/>
      <c r="I123" s="80"/>
      <c r="J123" s="81"/>
      <c r="K123" s="81"/>
      <c r="L123" s="82"/>
      <c r="M123" s="83"/>
      <c r="N123" s="84"/>
      <c r="O123" s="84"/>
    </row>
    <row r="124" spans="1:15" x14ac:dyDescent="0.35">
      <c r="A124" s="52"/>
      <c r="I124" s="80"/>
      <c r="J124" s="81"/>
      <c r="K124" s="81"/>
      <c r="L124" s="82"/>
      <c r="M124" s="83"/>
      <c r="N124" s="84"/>
      <c r="O124" s="84"/>
    </row>
    <row r="125" spans="1:15" x14ac:dyDescent="0.35">
      <c r="A125" s="52"/>
      <c r="I125" s="80"/>
      <c r="J125" s="81"/>
      <c r="K125" s="81"/>
      <c r="L125" s="82"/>
      <c r="M125" s="83"/>
      <c r="N125" s="84"/>
      <c r="O125" s="84"/>
    </row>
    <row r="126" spans="1:15" x14ac:dyDescent="0.35">
      <c r="A126" s="52"/>
      <c r="I126" s="80"/>
      <c r="J126" s="81"/>
      <c r="K126" s="81"/>
      <c r="L126" s="82"/>
      <c r="M126" s="83"/>
      <c r="N126" s="84"/>
      <c r="O126" s="84"/>
    </row>
    <row r="127" spans="1:15" x14ac:dyDescent="0.35">
      <c r="A127" s="52"/>
      <c r="I127" s="80"/>
      <c r="J127" s="81"/>
      <c r="K127" s="81"/>
      <c r="L127" s="82"/>
      <c r="M127" s="83"/>
      <c r="N127" s="84"/>
      <c r="O127" s="84"/>
    </row>
    <row r="128" spans="1:15" x14ac:dyDescent="0.35">
      <c r="A128" s="52"/>
      <c r="I128" s="80"/>
      <c r="J128" s="81"/>
      <c r="K128" s="81"/>
      <c r="L128" s="82"/>
      <c r="M128" s="83"/>
      <c r="N128" s="84"/>
      <c r="O128" s="84"/>
    </row>
    <row r="129" spans="1:15" x14ac:dyDescent="0.35">
      <c r="A129" s="52"/>
      <c r="I129" s="80"/>
      <c r="J129" s="81"/>
      <c r="K129" s="81"/>
      <c r="L129" s="82"/>
      <c r="M129" s="83"/>
      <c r="N129" s="84"/>
      <c r="O129" s="84"/>
    </row>
    <row r="130" spans="1:15" x14ac:dyDescent="0.35">
      <c r="A130" s="52"/>
      <c r="I130" s="80"/>
      <c r="J130" s="81"/>
      <c r="K130" s="81"/>
      <c r="L130" s="82"/>
      <c r="M130" s="83"/>
      <c r="N130" s="84"/>
      <c r="O130" s="84"/>
    </row>
    <row r="131" spans="1:15" x14ac:dyDescent="0.35">
      <c r="A131" s="52"/>
      <c r="I131" s="80"/>
      <c r="J131" s="81"/>
      <c r="K131" s="81"/>
      <c r="L131" s="82"/>
      <c r="M131" s="83"/>
      <c r="N131" s="84"/>
      <c r="O131" s="84"/>
    </row>
    <row r="132" spans="1:15" x14ac:dyDescent="0.35">
      <c r="A132" s="52"/>
      <c r="I132" s="80"/>
      <c r="J132" s="81"/>
      <c r="K132" s="81"/>
      <c r="L132" s="82"/>
      <c r="M132" s="83"/>
      <c r="N132" s="84"/>
      <c r="O132" s="84"/>
    </row>
    <row r="133" spans="1:15" x14ac:dyDescent="0.35">
      <c r="A133" s="52"/>
      <c r="I133" s="80"/>
      <c r="J133" s="81"/>
      <c r="K133" s="81"/>
      <c r="L133" s="82"/>
      <c r="M133" s="83"/>
      <c r="N133" s="84"/>
      <c r="O133" s="84"/>
    </row>
    <row r="134" spans="1:15" x14ac:dyDescent="0.35">
      <c r="A134" s="52"/>
      <c r="I134" s="80"/>
      <c r="J134" s="81"/>
      <c r="K134" s="81"/>
      <c r="L134" s="82"/>
      <c r="M134" s="83"/>
      <c r="N134" s="84"/>
      <c r="O134" s="84"/>
    </row>
    <row r="135" spans="1:15" x14ac:dyDescent="0.35">
      <c r="A135" s="52"/>
      <c r="I135" s="80"/>
      <c r="J135" s="81"/>
      <c r="K135" s="81"/>
      <c r="L135" s="82"/>
      <c r="M135" s="83"/>
      <c r="N135" s="84"/>
      <c r="O135" s="84"/>
    </row>
    <row r="136" spans="1:15" x14ac:dyDescent="0.35">
      <c r="A136" s="52"/>
      <c r="I136" s="80"/>
      <c r="J136" s="81"/>
      <c r="K136" s="81"/>
      <c r="L136" s="82"/>
      <c r="M136" s="83"/>
      <c r="N136" s="84"/>
      <c r="O136" s="84"/>
    </row>
    <row r="137" spans="1:15" x14ac:dyDescent="0.35">
      <c r="A137" s="52"/>
      <c r="I137" s="80"/>
      <c r="J137" s="81"/>
      <c r="K137" s="81"/>
      <c r="L137" s="82"/>
      <c r="M137" s="83"/>
      <c r="N137" s="84"/>
      <c r="O137" s="84"/>
    </row>
    <row r="138" spans="1:15" x14ac:dyDescent="0.35">
      <c r="A138" s="52"/>
      <c r="I138" s="80"/>
      <c r="J138" s="81"/>
      <c r="K138" s="81"/>
      <c r="L138" s="82"/>
      <c r="M138" s="83"/>
      <c r="N138" s="84"/>
      <c r="O138" s="84"/>
    </row>
    <row r="139" spans="1:15" x14ac:dyDescent="0.35">
      <c r="A139" s="52"/>
      <c r="I139" s="80"/>
      <c r="J139" s="81"/>
      <c r="K139" s="81"/>
      <c r="L139" s="82"/>
      <c r="M139" s="83"/>
      <c r="N139" s="84"/>
      <c r="O139" s="84"/>
    </row>
    <row r="140" spans="1:15" x14ac:dyDescent="0.35">
      <c r="A140" s="52"/>
      <c r="I140" s="80"/>
      <c r="J140" s="81"/>
      <c r="K140" s="81"/>
      <c r="L140" s="82"/>
      <c r="M140" s="83"/>
      <c r="N140" s="84"/>
      <c r="O140" s="84"/>
    </row>
    <row r="141" spans="1:15" x14ac:dyDescent="0.35">
      <c r="A141" s="52"/>
      <c r="I141" s="80"/>
      <c r="J141" s="81"/>
      <c r="K141" s="81"/>
      <c r="L141" s="82"/>
      <c r="M141" s="83"/>
      <c r="N141" s="84"/>
      <c r="O141" s="84"/>
    </row>
    <row r="142" spans="1:15" x14ac:dyDescent="0.35">
      <c r="A142" s="52"/>
      <c r="I142" s="80"/>
      <c r="J142" s="81"/>
      <c r="K142" s="81"/>
      <c r="L142" s="82"/>
      <c r="M142" s="83"/>
      <c r="N142" s="84"/>
      <c r="O142" s="84"/>
    </row>
    <row r="143" spans="1:15" x14ac:dyDescent="0.35">
      <c r="A143" s="52"/>
      <c r="I143" s="80"/>
      <c r="J143" s="81"/>
      <c r="K143" s="81"/>
      <c r="L143" s="82"/>
      <c r="M143" s="83"/>
      <c r="N143" s="84"/>
      <c r="O143" s="84"/>
    </row>
    <row r="144" spans="1:15" x14ac:dyDescent="0.35">
      <c r="A144" s="52"/>
      <c r="I144" s="80"/>
      <c r="J144" s="81"/>
      <c r="K144" s="81"/>
      <c r="L144" s="82"/>
      <c r="M144" s="83"/>
      <c r="N144" s="84"/>
      <c r="O144" s="84"/>
    </row>
    <row r="145" spans="1:15" x14ac:dyDescent="0.35">
      <c r="A145" s="52"/>
      <c r="I145" s="80"/>
      <c r="J145" s="81"/>
      <c r="K145" s="81"/>
      <c r="L145" s="82"/>
      <c r="M145" s="83"/>
      <c r="N145" s="84"/>
      <c r="O145" s="84"/>
    </row>
    <row r="146" spans="1:15" x14ac:dyDescent="0.35">
      <c r="A146" s="52"/>
      <c r="I146" s="80"/>
      <c r="J146" s="81"/>
      <c r="K146" s="81"/>
      <c r="L146" s="82"/>
      <c r="M146" s="83"/>
      <c r="N146" s="84"/>
      <c r="O146" s="84"/>
    </row>
    <row r="147" spans="1:15" x14ac:dyDescent="0.35">
      <c r="A147" s="52"/>
      <c r="I147" s="80"/>
      <c r="J147" s="81"/>
      <c r="K147" s="81"/>
      <c r="L147" s="82"/>
      <c r="M147" s="83"/>
      <c r="N147" s="84"/>
      <c r="O147" s="84"/>
    </row>
    <row r="148" spans="1:15" x14ac:dyDescent="0.35">
      <c r="A148" s="52"/>
      <c r="I148" s="80"/>
      <c r="J148" s="81"/>
      <c r="K148" s="81"/>
      <c r="L148" s="82"/>
      <c r="M148" s="83"/>
      <c r="N148" s="84"/>
      <c r="O148" s="84"/>
    </row>
    <row r="149" spans="1:15" x14ac:dyDescent="0.35">
      <c r="A149" s="52"/>
      <c r="I149" s="80"/>
      <c r="J149" s="81"/>
      <c r="K149" s="81"/>
      <c r="L149" s="82"/>
      <c r="M149" s="83"/>
      <c r="N149" s="84"/>
      <c r="O149" s="84"/>
    </row>
    <row r="150" spans="1:15" x14ac:dyDescent="0.35">
      <c r="A150" s="52"/>
      <c r="I150" s="80"/>
      <c r="J150" s="81"/>
      <c r="K150" s="81"/>
      <c r="L150" s="82"/>
      <c r="M150" s="83"/>
      <c r="N150" s="84"/>
      <c r="O150" s="84"/>
    </row>
    <row r="151" spans="1:15" x14ac:dyDescent="0.35">
      <c r="A151" s="52"/>
      <c r="I151" s="80"/>
      <c r="J151" s="81"/>
      <c r="K151" s="81"/>
      <c r="L151" s="82"/>
      <c r="M151" s="83"/>
      <c r="N151" s="84"/>
      <c r="O151" s="84"/>
    </row>
    <row r="152" spans="1:15" x14ac:dyDescent="0.35">
      <c r="A152" s="52"/>
      <c r="I152" s="80"/>
      <c r="J152" s="81"/>
      <c r="K152" s="81"/>
      <c r="L152" s="82"/>
      <c r="M152" s="83"/>
      <c r="N152" s="84"/>
      <c r="O152" s="84"/>
    </row>
    <row r="153" spans="1:15" x14ac:dyDescent="0.35">
      <c r="A153" s="52"/>
      <c r="I153" s="80"/>
      <c r="J153" s="81"/>
      <c r="K153" s="81"/>
      <c r="L153" s="82"/>
      <c r="M153" s="83"/>
      <c r="N153" s="84"/>
      <c r="O153" s="84"/>
    </row>
    <row r="154" spans="1:15" x14ac:dyDescent="0.35">
      <c r="A154" s="52"/>
      <c r="I154" s="80"/>
      <c r="J154" s="81"/>
      <c r="K154" s="81"/>
      <c r="L154" s="82"/>
      <c r="M154" s="83"/>
      <c r="N154" s="84"/>
      <c r="O154" s="84"/>
    </row>
    <row r="155" spans="1:15" x14ac:dyDescent="0.35">
      <c r="A155" s="52"/>
      <c r="I155" s="80"/>
      <c r="J155" s="81"/>
      <c r="K155" s="81"/>
      <c r="L155" s="82"/>
      <c r="M155" s="83"/>
      <c r="N155" s="84"/>
      <c r="O155" s="84"/>
    </row>
    <row r="156" spans="1:15" x14ac:dyDescent="0.35">
      <c r="A156" s="52"/>
      <c r="I156" s="80"/>
      <c r="J156" s="81"/>
      <c r="K156" s="81"/>
      <c r="L156" s="82"/>
      <c r="M156" s="83"/>
      <c r="N156" s="84"/>
      <c r="O156" s="84"/>
    </row>
    <row r="157" spans="1:15" x14ac:dyDescent="0.35">
      <c r="A157" s="52"/>
      <c r="I157" s="80"/>
      <c r="J157" s="81"/>
      <c r="K157" s="81"/>
      <c r="L157" s="82"/>
      <c r="M157" s="83"/>
      <c r="N157" s="84"/>
      <c r="O157" s="84"/>
    </row>
    <row r="158" spans="1:15" x14ac:dyDescent="0.35">
      <c r="A158" s="52"/>
      <c r="I158" s="80"/>
      <c r="J158" s="81"/>
      <c r="K158" s="81"/>
      <c r="L158" s="82"/>
      <c r="M158" s="83"/>
      <c r="N158" s="84"/>
      <c r="O158" s="84"/>
    </row>
    <row r="159" spans="1:15" x14ac:dyDescent="0.35">
      <c r="A159" s="52"/>
      <c r="I159" s="80"/>
      <c r="J159" s="81"/>
      <c r="K159" s="81"/>
      <c r="L159" s="82"/>
      <c r="M159" s="83"/>
      <c r="N159" s="84"/>
      <c r="O159" s="84"/>
    </row>
    <row r="160" spans="1:15" x14ac:dyDescent="0.35">
      <c r="A160" s="52"/>
      <c r="I160" s="80"/>
      <c r="J160" s="81"/>
      <c r="K160" s="81"/>
      <c r="L160" s="82"/>
      <c r="M160" s="83"/>
      <c r="N160" s="84"/>
      <c r="O160" s="84"/>
    </row>
    <row r="161" spans="1:1" x14ac:dyDescent="0.35">
      <c r="A161" s="52"/>
    </row>
    <row r="162" spans="1:1" x14ac:dyDescent="0.35">
      <c r="A162" s="52"/>
    </row>
    <row r="163" spans="1:1" x14ac:dyDescent="0.35">
      <c r="A163" s="52"/>
    </row>
    <row r="164" spans="1:1" x14ac:dyDescent="0.35">
      <c r="A164" s="52"/>
    </row>
    <row r="165" spans="1:1" x14ac:dyDescent="0.35">
      <c r="A165" s="52"/>
    </row>
    <row r="166" spans="1:1" x14ac:dyDescent="0.35">
      <c r="A166" s="52"/>
    </row>
    <row r="167" spans="1:1" x14ac:dyDescent="0.35">
      <c r="A167" s="52"/>
    </row>
    <row r="168" spans="1:1" x14ac:dyDescent="0.35">
      <c r="A168" s="52"/>
    </row>
    <row r="169" spans="1:1" x14ac:dyDescent="0.35">
      <c r="A169" s="52"/>
    </row>
    <row r="170" spans="1:1" x14ac:dyDescent="0.35">
      <c r="A170" s="52"/>
    </row>
    <row r="171" spans="1:1" x14ac:dyDescent="0.35">
      <c r="A171" s="52"/>
    </row>
    <row r="172" spans="1:1" x14ac:dyDescent="0.35">
      <c r="A172" s="52"/>
    </row>
    <row r="173" spans="1:1" x14ac:dyDescent="0.35">
      <c r="A173" s="52"/>
    </row>
    <row r="174" spans="1:1" x14ac:dyDescent="0.35">
      <c r="A174" s="52"/>
    </row>
    <row r="175" spans="1:1" x14ac:dyDescent="0.35">
      <c r="A175" s="52"/>
    </row>
    <row r="176" spans="1:1" x14ac:dyDescent="0.35">
      <c r="A176" s="52"/>
    </row>
    <row r="177" spans="1:1" x14ac:dyDescent="0.35">
      <c r="A177" s="52"/>
    </row>
    <row r="178" spans="1:1" x14ac:dyDescent="0.35">
      <c r="A178" s="52"/>
    </row>
    <row r="179" spans="1:1" x14ac:dyDescent="0.35">
      <c r="A179" s="52"/>
    </row>
    <row r="180" spans="1:1" x14ac:dyDescent="0.35">
      <c r="A180" s="52"/>
    </row>
    <row r="181" spans="1:1" x14ac:dyDescent="0.35">
      <c r="A181" s="52"/>
    </row>
    <row r="182" spans="1:1" x14ac:dyDescent="0.35">
      <c r="A182" s="52"/>
    </row>
    <row r="183" spans="1:1" x14ac:dyDescent="0.35">
      <c r="A183" s="52"/>
    </row>
    <row r="184" spans="1:1" x14ac:dyDescent="0.35">
      <c r="A184" s="52"/>
    </row>
    <row r="185" spans="1:1" x14ac:dyDescent="0.35">
      <c r="A185" s="52"/>
    </row>
    <row r="186" spans="1:1" x14ac:dyDescent="0.35">
      <c r="A186" s="52"/>
    </row>
    <row r="187" spans="1:1" x14ac:dyDescent="0.35">
      <c r="A187" s="52"/>
    </row>
    <row r="188" spans="1:1" x14ac:dyDescent="0.35">
      <c r="A188" s="52"/>
    </row>
    <row r="189" spans="1:1" x14ac:dyDescent="0.35">
      <c r="A189" s="52"/>
    </row>
    <row r="190" spans="1:1" x14ac:dyDescent="0.35">
      <c r="A190" s="52"/>
    </row>
    <row r="191" spans="1:1" x14ac:dyDescent="0.35">
      <c r="A191" s="52"/>
    </row>
    <row r="192" spans="1:1" x14ac:dyDescent="0.35">
      <c r="A192" s="52"/>
    </row>
    <row r="193" spans="1:1" x14ac:dyDescent="0.35">
      <c r="A193" s="52"/>
    </row>
    <row r="194" spans="1:1" x14ac:dyDescent="0.35">
      <c r="A194" s="52"/>
    </row>
    <row r="195" spans="1:1" x14ac:dyDescent="0.35">
      <c r="A195" s="52"/>
    </row>
    <row r="196" spans="1:1" x14ac:dyDescent="0.35">
      <c r="A196" s="52"/>
    </row>
    <row r="197" spans="1:1" x14ac:dyDescent="0.35">
      <c r="A197" s="52"/>
    </row>
    <row r="198" spans="1:1" x14ac:dyDescent="0.35">
      <c r="A198" s="52"/>
    </row>
    <row r="199" spans="1:1" x14ac:dyDescent="0.35">
      <c r="A199" s="52"/>
    </row>
    <row r="200" spans="1:1" x14ac:dyDescent="0.35">
      <c r="A200" s="52"/>
    </row>
    <row r="201" spans="1:1" x14ac:dyDescent="0.35">
      <c r="A201" s="52"/>
    </row>
    <row r="202" spans="1:1" x14ac:dyDescent="0.35">
      <c r="A202" s="52"/>
    </row>
    <row r="203" spans="1:1" x14ac:dyDescent="0.35">
      <c r="A203" s="52"/>
    </row>
    <row r="204" spans="1:1" x14ac:dyDescent="0.35">
      <c r="A204" s="52"/>
    </row>
    <row r="205" spans="1:1" x14ac:dyDescent="0.35">
      <c r="A205" s="52"/>
    </row>
    <row r="206" spans="1:1" x14ac:dyDescent="0.35">
      <c r="A206" s="52"/>
    </row>
    <row r="207" spans="1:1" x14ac:dyDescent="0.35">
      <c r="A207" s="52"/>
    </row>
    <row r="208" spans="1:1" x14ac:dyDescent="0.35">
      <c r="A208" s="52"/>
    </row>
    <row r="209" spans="1:1" x14ac:dyDescent="0.35">
      <c r="A209" s="52"/>
    </row>
    <row r="210" spans="1:1" x14ac:dyDescent="0.35">
      <c r="A210" s="52"/>
    </row>
    <row r="211" spans="1:1" x14ac:dyDescent="0.35">
      <c r="A211" s="52"/>
    </row>
    <row r="212" spans="1:1" x14ac:dyDescent="0.35">
      <c r="A212" s="52"/>
    </row>
    <row r="213" spans="1:1" x14ac:dyDescent="0.35">
      <c r="A213" s="52"/>
    </row>
    <row r="214" spans="1:1" x14ac:dyDescent="0.35">
      <c r="A214" s="52"/>
    </row>
    <row r="215" spans="1:1" x14ac:dyDescent="0.35">
      <c r="A215" s="52"/>
    </row>
    <row r="216" spans="1:1" x14ac:dyDescent="0.35">
      <c r="A216" s="52"/>
    </row>
    <row r="217" spans="1:1" x14ac:dyDescent="0.35">
      <c r="A217" s="52"/>
    </row>
    <row r="218" spans="1:1" x14ac:dyDescent="0.35">
      <c r="A218" s="52"/>
    </row>
    <row r="219" spans="1:1" x14ac:dyDescent="0.35">
      <c r="A219" s="52"/>
    </row>
    <row r="220" spans="1:1" x14ac:dyDescent="0.35">
      <c r="A220" s="52"/>
    </row>
    <row r="221" spans="1:1" x14ac:dyDescent="0.35">
      <c r="A221" s="52"/>
    </row>
    <row r="222" spans="1:1" x14ac:dyDescent="0.35">
      <c r="A222" s="52"/>
    </row>
    <row r="223" spans="1:1" x14ac:dyDescent="0.35">
      <c r="A223" s="52"/>
    </row>
    <row r="224" spans="1:1" x14ac:dyDescent="0.35">
      <c r="A224" s="52"/>
    </row>
    <row r="225" spans="1:1" x14ac:dyDescent="0.35">
      <c r="A225" s="52"/>
    </row>
    <row r="226" spans="1:1" x14ac:dyDescent="0.35">
      <c r="A226" s="52"/>
    </row>
    <row r="227" spans="1:1" x14ac:dyDescent="0.35">
      <c r="A227" s="52"/>
    </row>
    <row r="228" spans="1:1" x14ac:dyDescent="0.35">
      <c r="A228" s="52"/>
    </row>
    <row r="229" spans="1:1" x14ac:dyDescent="0.35">
      <c r="A229" s="52"/>
    </row>
    <row r="230" spans="1:1" x14ac:dyDescent="0.35">
      <c r="A230" s="52"/>
    </row>
    <row r="231" spans="1:1" x14ac:dyDescent="0.35">
      <c r="A231" s="52"/>
    </row>
    <row r="232" spans="1:1" x14ac:dyDescent="0.35">
      <c r="A232" s="52"/>
    </row>
    <row r="233" spans="1:1" x14ac:dyDescent="0.35">
      <c r="A233" s="52"/>
    </row>
    <row r="234" spans="1:1" x14ac:dyDescent="0.35">
      <c r="A234" s="52"/>
    </row>
    <row r="235" spans="1:1" x14ac:dyDescent="0.35">
      <c r="A235" s="52"/>
    </row>
    <row r="236" spans="1:1" x14ac:dyDescent="0.35">
      <c r="A236" s="52"/>
    </row>
    <row r="237" spans="1:1" x14ac:dyDescent="0.35">
      <c r="A237" s="52"/>
    </row>
    <row r="238" spans="1:1" x14ac:dyDescent="0.35">
      <c r="A238" s="52"/>
    </row>
    <row r="239" spans="1:1" x14ac:dyDescent="0.35">
      <c r="A239" s="52"/>
    </row>
    <row r="240" spans="1:1" x14ac:dyDescent="0.35">
      <c r="A240" s="52"/>
    </row>
    <row r="241" spans="1:1" x14ac:dyDescent="0.35">
      <c r="A241" s="52"/>
    </row>
    <row r="242" spans="1:1" x14ac:dyDescent="0.35">
      <c r="A242" s="52"/>
    </row>
    <row r="243" spans="1:1" x14ac:dyDescent="0.35">
      <c r="A243" s="52"/>
    </row>
    <row r="244" spans="1:1" x14ac:dyDescent="0.35">
      <c r="A244" s="52"/>
    </row>
    <row r="245" spans="1:1" x14ac:dyDescent="0.35">
      <c r="A245" s="52"/>
    </row>
    <row r="246" spans="1:1" x14ac:dyDescent="0.35">
      <c r="A246" s="52"/>
    </row>
    <row r="247" spans="1:1" x14ac:dyDescent="0.35">
      <c r="A247" s="52"/>
    </row>
    <row r="248" spans="1:1" x14ac:dyDescent="0.35">
      <c r="A248" s="52"/>
    </row>
    <row r="249" spans="1:1" x14ac:dyDescent="0.35">
      <c r="A249" s="52"/>
    </row>
    <row r="250" spans="1:1" x14ac:dyDescent="0.35">
      <c r="A250" s="52"/>
    </row>
    <row r="251" spans="1:1" x14ac:dyDescent="0.35">
      <c r="A251" s="52"/>
    </row>
    <row r="252" spans="1:1" x14ac:dyDescent="0.35">
      <c r="A252" s="52"/>
    </row>
    <row r="253" spans="1:1" x14ac:dyDescent="0.35">
      <c r="A253" s="52"/>
    </row>
    <row r="254" spans="1:1" x14ac:dyDescent="0.35">
      <c r="A254" s="52"/>
    </row>
    <row r="255" spans="1:1" x14ac:dyDescent="0.35">
      <c r="A255" s="52"/>
    </row>
    <row r="256" spans="1:1" x14ac:dyDescent="0.35">
      <c r="A256" s="52"/>
    </row>
    <row r="257" spans="1:1" x14ac:dyDescent="0.35">
      <c r="A257" s="52"/>
    </row>
    <row r="258" spans="1:1" x14ac:dyDescent="0.35">
      <c r="A258" s="52"/>
    </row>
    <row r="259" spans="1:1" x14ac:dyDescent="0.35">
      <c r="A259" s="52"/>
    </row>
    <row r="260" spans="1:1" x14ac:dyDescent="0.35">
      <c r="A260" s="52"/>
    </row>
    <row r="261" spans="1:1" x14ac:dyDescent="0.35">
      <c r="A261" s="52"/>
    </row>
    <row r="262" spans="1:1" x14ac:dyDescent="0.35">
      <c r="A262" s="52"/>
    </row>
    <row r="263" spans="1:1" x14ac:dyDescent="0.35">
      <c r="A263" s="52"/>
    </row>
    <row r="264" spans="1:1" x14ac:dyDescent="0.35">
      <c r="A264" s="52"/>
    </row>
    <row r="265" spans="1:1" x14ac:dyDescent="0.35">
      <c r="A265" s="52"/>
    </row>
    <row r="266" spans="1:1" x14ac:dyDescent="0.35">
      <c r="A266" s="52"/>
    </row>
    <row r="267" spans="1:1" x14ac:dyDescent="0.35">
      <c r="A267" s="52"/>
    </row>
    <row r="268" spans="1:1" x14ac:dyDescent="0.35">
      <c r="A268" s="52"/>
    </row>
    <row r="269" spans="1:1" x14ac:dyDescent="0.35">
      <c r="A269" s="52"/>
    </row>
    <row r="270" spans="1:1" x14ac:dyDescent="0.35">
      <c r="A270" s="52"/>
    </row>
    <row r="271" spans="1:1" x14ac:dyDescent="0.35">
      <c r="A271" s="52"/>
    </row>
    <row r="272" spans="1:1" x14ac:dyDescent="0.35">
      <c r="A272" s="52"/>
    </row>
  </sheetData>
  <sheetProtection formatCells="0" formatColumns="0" formatRows="0" insertRows="0" deleteRows="0" sort="0" autoFilter="0"/>
  <conditionalFormatting sqref="A1:O2">
    <cfRule type="expression" dxfId="4"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B51A5-B5BE-47C4-BB6A-DE582433B964}">
  <sheetPr>
    <tabColor theme="5" tint="0.79998168889431442"/>
  </sheetPr>
  <dimension ref="A1:O109"/>
  <sheetViews>
    <sheetView workbookViewId="0">
      <pane ySplit="1" topLeftCell="A2" activePane="bottomLeft" state="frozen"/>
      <selection activeCell="A2" sqref="A2"/>
      <selection pane="bottomLeft" activeCell="D15" sqref="D15"/>
    </sheetView>
  </sheetViews>
  <sheetFormatPr defaultRowHeight="14.5" x14ac:dyDescent="0.35"/>
  <cols>
    <col min="1" max="1" width="10.08984375" style="25" bestFit="1" customWidth="1"/>
    <col min="2" max="2" width="11.08984375" style="25" bestFit="1" customWidth="1"/>
    <col min="3" max="3" width="52.81640625" style="25" bestFit="1" customWidth="1"/>
    <col min="4" max="4" width="7.81640625" style="25" bestFit="1" customWidth="1"/>
    <col min="5" max="5" width="8.08984375" style="25" bestFit="1" customWidth="1"/>
    <col min="6" max="6" width="9.6328125" style="25" bestFit="1" customWidth="1"/>
    <col min="7" max="8" width="8.7265625" style="25"/>
    <col min="9" max="9" width="10.08984375" style="25" bestFit="1" customWidth="1"/>
    <col min="10" max="12" width="8.7265625" style="25"/>
    <col min="13" max="13" width="9.36328125" style="25" bestFit="1" customWidth="1"/>
    <col min="14" max="14" width="9.6328125" style="25" customWidth="1"/>
    <col min="15" max="16384" width="8.7265625" style="25"/>
  </cols>
  <sheetData>
    <row r="1" spans="1:15" s="51" customFormat="1" ht="29" x14ac:dyDescent="0.35">
      <c r="A1" s="51" t="s">
        <v>3</v>
      </c>
      <c r="B1" s="51" t="s">
        <v>4</v>
      </c>
      <c r="C1" s="51" t="s">
        <v>5</v>
      </c>
      <c r="D1" s="51" t="s">
        <v>6</v>
      </c>
      <c r="E1" s="51" t="s">
        <v>7</v>
      </c>
      <c r="F1" s="51" t="s">
        <v>90</v>
      </c>
      <c r="G1" s="103" t="s">
        <v>223</v>
      </c>
      <c r="I1" s="86" t="s">
        <v>3</v>
      </c>
      <c r="J1" s="85" t="s">
        <v>12</v>
      </c>
      <c r="K1" s="85" t="s">
        <v>13</v>
      </c>
      <c r="L1" s="85" t="s">
        <v>8</v>
      </c>
      <c r="M1" s="85" t="s">
        <v>9</v>
      </c>
      <c r="N1" s="87" t="s">
        <v>15</v>
      </c>
      <c r="O1" s="85" t="s">
        <v>14</v>
      </c>
    </row>
    <row r="2" spans="1:15" x14ac:dyDescent="0.35">
      <c r="A2" s="52"/>
      <c r="I2" s="2" t="e" cm="1" vm="1">
        <f t="array" ref="I2">_xlfn.LET(_xlpm.thd,$C$2:$C$100000,_xlpm.thm,((LEFT(TRIM(_xlpm.thd),1)="B")+(LEFT(TRIM(_xlpm.thd),1)="S"))*NOT(ISNUMBER(SEARCH("transfer",_xlpm.thd)))*NOT(ISNUMBER(SEARCH("tsfer",_xlpm.thd))),_xlfn._xlws.FILTER($A$2:$A$100000,_xlpm.thm))</f>
        <v>#VALUE!</v>
      </c>
      <c r="J2" s="3" t="e" cm="1" vm="1">
        <f t="array" ref="J2">_xlfn.LET(_xlpm.thd,$C$2:$C$100000,_xlpm.thm,((LEFT(TRIM(_xlpm.thd),1)="B")+(LEFT(TRIM(_xlpm.thd),1)="S"))*NOT(ISNUMBER(SEARCH("transfer",_xlpm.thd)))*NOT(ISNUMBER(SEARCH("tsfer",_xlpm.thd))),LEFT(TRIM(_xlfn._xlws.FILTER(_xlpm.thd,_xlpm.thm)),1))</f>
        <v>#VALUE!</v>
      </c>
      <c r="K2" s="3" t="e" cm="1" vm="1">
        <f t="array" ref="K2">_xlfn.LET(_xlpm.thd,$C$2:$C$100000,_xlpm.thm,((LEFT(TRIM(_xlpm.thd),1)="B")+(LEFT(TRIM(_xlpm.thd),1)="S"))*NOT(ISNUMBER(SEARCH("transfer",_xlpm.thd)))*NOT(ISNUMBER(SEARCH("tsfer",_xlpm.thd))),_xlpm.txt,TRIM(_xlfn._xlws.FILTER(_xlpm.thd,_xlpm.thm)),_xlfn.MAP(_xlpm.txt,_xlfn.LAMBDA(_xlpm.t,INDEX(_xlfn.TEXTSPLIT(_xlpm.t," "),1,3))))</f>
        <v>#VALUE!</v>
      </c>
      <c r="L2" s="4" t="e" cm="1" vm="1">
        <f t="array" ref="L2">_xlfn.LET(_xlpm.thd,$C$2:$C$100000,_xlpm.thm,((LEFT(TRIM(_xlpm.thd),1)="B")+(LEFT(TRIM(_xlpm.thd),1)="S"))*NOT(ISNUMBER(SEARCH("transfer",_xlpm.thd)))*NOT(ISNUMBER(SEARCH("tsfer",_xlpm.thd))),_xlpm.txt,TRIM(_xlfn._xlws.FILTER(_xlpm.thd,_xlpm.thm)),VALUE(_xlfn.MAP(_xlpm.txt,_xlfn.LAMBDA(_xlpm.t,INDEX(_xlfn.TEXTSPLIT(_xlpm.t," "),1,2)))))</f>
        <v>#VALUE!</v>
      </c>
      <c r="M2" s="5" t="e" cm="1" vm="1">
        <f t="array" ref="M2">_xlfn.LET(_xlpm.thd,$C$2:$C$100000,_xlpm.thm,((LEFT(TRIM(_xlpm.thd),1)="B")+(LEFT(TRIM(_xlpm.thd),1)="S"))*NOT(ISNUMBER(SEARCH("transfer",_xlpm.thd)))*NOT(ISNUMBER(SEARCH("tsfer",_xlpm.thd))),_xlpm.txt,TRIM(_xlfn._xlws.FILTER(_xlpm.thd,_xlpm.thm)),_xlpm.atPos,FIND("@",_xlpm.txt),VALUE(TRIM(MID(_xlpm.txt,_xlpm.atPos+1,20))))</f>
        <v>#VALUE!</v>
      </c>
      <c r="N2" s="6" t="e" cm="1" vm="2">
        <f t="array" ref="N2">IF(_xlfn.ANCHORARRAY($J$2)="S",_xlfn.ANCHORARRAY($L$2)*_xlfn.ANCHORARRAY($M$2)-_xlfn.ANCHORARRAY($O$2),_xlfn.ANCHORARRAY($O$2)-_xlfn.ANCHORARRAY($L$2)*_xlfn.ANCHORARRAY($M$2))</f>
        <v>#VALUE!</v>
      </c>
      <c r="O2" s="6" t="e" cm="1" vm="1">
        <f t="array" ref="O2">_xlfn.LET(_xlpm.thd,$C$2:$C$100000,_xlpm.thm,((LEFT(TRIM(_xlpm.thd),1)="B")+(LEFT(TRIM(_xlpm.thd),1)="S"))*NOT(ISNUMBER(SEARCH("transfer",_xlpm.thd)))*NOT(ISNUMBER(SEARCH("tsfer",_xlpm.thd))),_xlpm.deb,_xlfn._xlws.FILTER($D$2:$D$100000,_xlpm.thm),_xlpm.cred,_xlfn._xlws.FILTER($E$2:$E$100000,_xlpm.thm),IF(_xlpm.deb&lt;&gt;"",_xlpm.deb,_xlpm.cred))</f>
        <v>#VALUE!</v>
      </c>
    </row>
    <row r="3" spans="1:15" x14ac:dyDescent="0.35">
      <c r="A3" s="52"/>
      <c r="I3" s="80"/>
      <c r="J3" s="81"/>
      <c r="K3" s="81"/>
      <c r="L3" s="82"/>
      <c r="M3" s="83"/>
      <c r="N3" s="84"/>
      <c r="O3" s="84"/>
    </row>
    <row r="4" spans="1:15" x14ac:dyDescent="0.35">
      <c r="A4" s="52"/>
      <c r="I4" s="80"/>
      <c r="J4" s="81"/>
      <c r="K4" s="81"/>
      <c r="L4" s="82"/>
      <c r="M4" s="83"/>
      <c r="N4" s="84"/>
      <c r="O4" s="84"/>
    </row>
    <row r="5" spans="1:15" x14ac:dyDescent="0.35">
      <c r="A5" s="52"/>
      <c r="I5" s="80"/>
      <c r="J5" s="81"/>
      <c r="K5" s="81"/>
      <c r="L5" s="82"/>
      <c r="M5" s="83"/>
      <c r="N5" s="84"/>
      <c r="O5" s="84"/>
    </row>
    <row r="6" spans="1:15" x14ac:dyDescent="0.35">
      <c r="A6" s="52"/>
      <c r="I6" s="80"/>
      <c r="J6" s="81"/>
      <c r="K6" s="81"/>
      <c r="L6" s="82"/>
      <c r="M6" s="83"/>
      <c r="N6" s="84"/>
      <c r="O6" s="84"/>
    </row>
    <row r="7" spans="1:15" x14ac:dyDescent="0.35">
      <c r="A7" s="52"/>
      <c r="I7" s="80"/>
      <c r="J7" s="81"/>
      <c r="K7" s="81"/>
      <c r="L7" s="82"/>
      <c r="M7" s="83"/>
      <c r="N7" s="84"/>
      <c r="O7" s="84"/>
    </row>
    <row r="8" spans="1:15" x14ac:dyDescent="0.35">
      <c r="A8" s="52"/>
      <c r="I8" s="80"/>
      <c r="J8" s="81"/>
      <c r="K8" s="81"/>
      <c r="L8" s="82"/>
      <c r="M8" s="83"/>
      <c r="N8" s="84"/>
      <c r="O8" s="84"/>
    </row>
    <row r="9" spans="1:15" x14ac:dyDescent="0.35">
      <c r="A9" s="52"/>
      <c r="I9" s="80"/>
      <c r="J9" s="81"/>
      <c r="K9" s="81"/>
      <c r="L9" s="82"/>
      <c r="M9" s="83"/>
      <c r="N9" s="84"/>
      <c r="O9" s="84"/>
    </row>
    <row r="10" spans="1:15" x14ac:dyDescent="0.35">
      <c r="A10" s="52"/>
      <c r="I10" s="80"/>
      <c r="J10" s="81"/>
      <c r="K10" s="81"/>
      <c r="L10" s="82"/>
      <c r="M10" s="83"/>
      <c r="N10" s="84"/>
      <c r="O10" s="84"/>
    </row>
    <row r="11" spans="1:15" x14ac:dyDescent="0.35">
      <c r="A11" s="52"/>
      <c r="I11" s="80"/>
      <c r="J11" s="81"/>
      <c r="K11" s="81"/>
      <c r="L11" s="82"/>
      <c r="M11" s="83"/>
      <c r="N11" s="84"/>
      <c r="O11" s="84"/>
    </row>
    <row r="12" spans="1:15" x14ac:dyDescent="0.35">
      <c r="A12" s="52"/>
      <c r="I12" s="80"/>
      <c r="J12" s="81"/>
      <c r="K12" s="81"/>
      <c r="L12" s="82"/>
      <c r="M12" s="83"/>
      <c r="N12" s="84"/>
      <c r="O12" s="84"/>
    </row>
    <row r="13" spans="1:15" x14ac:dyDescent="0.35">
      <c r="A13" s="52"/>
      <c r="I13" s="80"/>
      <c r="J13" s="81"/>
      <c r="K13" s="81"/>
      <c r="L13" s="82"/>
      <c r="M13" s="83"/>
      <c r="N13" s="84"/>
      <c r="O13" s="84"/>
    </row>
    <row r="14" spans="1:15" x14ac:dyDescent="0.35">
      <c r="A14" s="52"/>
      <c r="I14" s="80"/>
      <c r="J14" s="81"/>
      <c r="K14" s="81"/>
      <c r="L14" s="82"/>
      <c r="M14" s="83"/>
      <c r="N14" s="84"/>
      <c r="O14" s="84"/>
    </row>
    <row r="15" spans="1:15" x14ac:dyDescent="0.35">
      <c r="A15" s="52"/>
      <c r="I15" s="80"/>
      <c r="J15" s="81"/>
      <c r="K15" s="81"/>
      <c r="L15" s="82"/>
      <c r="M15" s="83"/>
      <c r="N15" s="84"/>
      <c r="O15" s="84"/>
    </row>
    <row r="16" spans="1:15" x14ac:dyDescent="0.35">
      <c r="A16" s="52"/>
      <c r="I16" s="80"/>
      <c r="J16" s="81"/>
      <c r="K16" s="81"/>
      <c r="L16" s="82"/>
      <c r="M16" s="83"/>
      <c r="N16" s="84"/>
      <c r="O16" s="84"/>
    </row>
    <row r="17" spans="1:15" x14ac:dyDescent="0.35">
      <c r="A17" s="52"/>
      <c r="I17" s="80"/>
      <c r="J17" s="81"/>
      <c r="K17" s="81"/>
      <c r="L17" s="82"/>
      <c r="M17" s="83"/>
      <c r="N17" s="84"/>
      <c r="O17" s="84"/>
    </row>
    <row r="18" spans="1:15" x14ac:dyDescent="0.35">
      <c r="A18" s="52"/>
      <c r="I18" s="80"/>
      <c r="J18" s="81"/>
      <c r="K18" s="81"/>
      <c r="L18" s="82"/>
      <c r="M18" s="83"/>
      <c r="N18" s="84"/>
      <c r="O18" s="84"/>
    </row>
    <row r="19" spans="1:15" x14ac:dyDescent="0.35">
      <c r="A19" s="52"/>
      <c r="I19" s="80"/>
      <c r="J19" s="81"/>
      <c r="K19" s="81"/>
      <c r="L19" s="82"/>
      <c r="M19" s="83"/>
      <c r="N19" s="84"/>
      <c r="O19" s="84"/>
    </row>
    <row r="20" spans="1:15" x14ac:dyDescent="0.35">
      <c r="A20" s="52"/>
      <c r="I20" s="80"/>
      <c r="J20" s="81"/>
      <c r="K20" s="81"/>
      <c r="L20" s="82"/>
      <c r="M20" s="83"/>
      <c r="N20" s="84"/>
      <c r="O20" s="84"/>
    </row>
    <row r="21" spans="1:15" x14ac:dyDescent="0.35">
      <c r="A21" s="52"/>
      <c r="I21" s="80"/>
      <c r="J21" s="81"/>
      <c r="K21" s="81"/>
      <c r="L21" s="82"/>
      <c r="M21" s="83"/>
      <c r="N21" s="84"/>
      <c r="O21" s="84"/>
    </row>
    <row r="22" spans="1:15" x14ac:dyDescent="0.35">
      <c r="A22" s="52"/>
      <c r="I22" s="80"/>
      <c r="J22" s="81"/>
      <c r="K22" s="81"/>
      <c r="L22" s="82"/>
      <c r="M22" s="83"/>
      <c r="N22" s="84"/>
      <c r="O22" s="84"/>
    </row>
    <row r="23" spans="1:15" x14ac:dyDescent="0.35">
      <c r="A23" s="52"/>
      <c r="I23" s="80"/>
      <c r="J23" s="81"/>
      <c r="K23" s="81"/>
      <c r="L23" s="82"/>
      <c r="M23" s="83"/>
      <c r="N23" s="84"/>
      <c r="O23" s="84"/>
    </row>
    <row r="24" spans="1:15" x14ac:dyDescent="0.35">
      <c r="A24" s="52"/>
      <c r="I24" s="80"/>
      <c r="J24" s="81"/>
      <c r="K24" s="81"/>
      <c r="L24" s="82"/>
      <c r="M24" s="83"/>
      <c r="N24" s="84"/>
      <c r="O24" s="84"/>
    </row>
    <row r="25" spans="1:15" x14ac:dyDescent="0.35">
      <c r="A25" s="52"/>
      <c r="I25" s="80"/>
      <c r="J25" s="81"/>
      <c r="K25" s="81"/>
      <c r="L25" s="82"/>
      <c r="M25" s="83"/>
      <c r="N25" s="84"/>
      <c r="O25" s="84"/>
    </row>
    <row r="26" spans="1:15" x14ac:dyDescent="0.35">
      <c r="A26" s="52"/>
      <c r="I26" s="80"/>
      <c r="J26" s="81"/>
      <c r="K26" s="81"/>
      <c r="L26" s="82"/>
      <c r="M26" s="83"/>
      <c r="N26" s="84"/>
      <c r="O26" s="84"/>
    </row>
    <row r="27" spans="1:15" x14ac:dyDescent="0.35">
      <c r="A27" s="52"/>
      <c r="I27" s="80"/>
      <c r="J27" s="81"/>
      <c r="K27" s="81"/>
      <c r="L27" s="82"/>
      <c r="M27" s="83"/>
      <c r="N27" s="84"/>
      <c r="O27" s="84"/>
    </row>
    <row r="28" spans="1:15" x14ac:dyDescent="0.35">
      <c r="A28" s="52"/>
      <c r="I28" s="80"/>
      <c r="J28" s="81"/>
      <c r="K28" s="81"/>
      <c r="L28" s="82"/>
      <c r="M28" s="83"/>
      <c r="N28" s="84"/>
      <c r="O28" s="84"/>
    </row>
    <row r="29" spans="1:15" x14ac:dyDescent="0.35">
      <c r="A29" s="52"/>
      <c r="I29" s="80"/>
      <c r="J29" s="81"/>
      <c r="K29" s="81"/>
      <c r="L29" s="82"/>
      <c r="M29" s="83"/>
      <c r="N29" s="84"/>
      <c r="O29" s="84"/>
    </row>
    <row r="30" spans="1:15" x14ac:dyDescent="0.35">
      <c r="A30" s="52"/>
      <c r="I30" s="80"/>
      <c r="J30" s="81"/>
      <c r="K30" s="81"/>
      <c r="L30" s="82"/>
      <c r="M30" s="83"/>
      <c r="N30" s="84"/>
      <c r="O30" s="84"/>
    </row>
    <row r="31" spans="1:15" x14ac:dyDescent="0.35">
      <c r="A31" s="52"/>
      <c r="I31" s="80"/>
      <c r="J31" s="81"/>
      <c r="K31" s="81"/>
      <c r="L31" s="82"/>
      <c r="M31" s="83"/>
      <c r="N31" s="84"/>
      <c r="O31" s="84"/>
    </row>
    <row r="32" spans="1:15" x14ac:dyDescent="0.35">
      <c r="A32" s="52"/>
      <c r="I32" s="80"/>
      <c r="J32" s="81"/>
      <c r="K32" s="81"/>
      <c r="L32" s="82"/>
      <c r="M32" s="83"/>
      <c r="N32" s="84"/>
      <c r="O32" s="84"/>
    </row>
    <row r="33" spans="1:15" x14ac:dyDescent="0.35">
      <c r="A33" s="52"/>
      <c r="I33" s="80"/>
      <c r="J33" s="81"/>
      <c r="K33" s="81"/>
      <c r="L33" s="82"/>
      <c r="M33" s="83"/>
      <c r="N33" s="84"/>
      <c r="O33" s="84"/>
    </row>
    <row r="34" spans="1:15" x14ac:dyDescent="0.35">
      <c r="A34" s="52"/>
      <c r="I34" s="80"/>
      <c r="J34" s="81"/>
      <c r="K34" s="81"/>
      <c r="L34" s="82"/>
      <c r="M34" s="83"/>
      <c r="N34" s="84"/>
      <c r="O34" s="84"/>
    </row>
    <row r="35" spans="1:15" x14ac:dyDescent="0.35">
      <c r="A35" s="52"/>
      <c r="I35" s="80"/>
      <c r="J35" s="81"/>
      <c r="K35" s="81"/>
      <c r="L35" s="82"/>
      <c r="M35" s="83"/>
      <c r="N35" s="84"/>
      <c r="O35" s="84"/>
    </row>
    <row r="36" spans="1:15" x14ac:dyDescent="0.35">
      <c r="A36" s="52"/>
      <c r="I36" s="80"/>
      <c r="J36" s="81"/>
      <c r="K36" s="81"/>
      <c r="L36" s="82"/>
      <c r="M36" s="83"/>
      <c r="N36" s="84"/>
      <c r="O36" s="84"/>
    </row>
    <row r="37" spans="1:15" x14ac:dyDescent="0.35">
      <c r="A37" s="52"/>
      <c r="I37" s="80"/>
      <c r="J37" s="81"/>
      <c r="K37" s="81"/>
      <c r="L37" s="82"/>
      <c r="M37" s="83"/>
      <c r="N37" s="84"/>
      <c r="O37" s="84"/>
    </row>
    <row r="38" spans="1:15" x14ac:dyDescent="0.35">
      <c r="A38" s="52"/>
      <c r="I38" s="80"/>
      <c r="J38" s="81"/>
      <c r="K38" s="81"/>
      <c r="L38" s="82"/>
      <c r="M38" s="83"/>
      <c r="N38" s="84"/>
      <c r="O38" s="84"/>
    </row>
    <row r="39" spans="1:15" x14ac:dyDescent="0.35">
      <c r="A39" s="52"/>
      <c r="I39" s="80"/>
      <c r="J39" s="81"/>
      <c r="K39" s="81"/>
      <c r="L39" s="82"/>
      <c r="M39" s="83"/>
      <c r="N39" s="84"/>
      <c r="O39" s="84"/>
    </row>
    <row r="40" spans="1:15" x14ac:dyDescent="0.35">
      <c r="A40" s="52"/>
      <c r="I40" s="80"/>
      <c r="J40" s="81"/>
      <c r="K40" s="81"/>
      <c r="L40" s="82"/>
      <c r="M40" s="83"/>
      <c r="N40" s="84"/>
      <c r="O40" s="84"/>
    </row>
    <row r="41" spans="1:15" x14ac:dyDescent="0.35">
      <c r="A41" s="52"/>
      <c r="I41" s="80"/>
      <c r="J41" s="81"/>
      <c r="K41" s="81"/>
      <c r="L41" s="82"/>
      <c r="M41" s="83"/>
      <c r="N41" s="84"/>
      <c r="O41" s="84"/>
    </row>
    <row r="42" spans="1:15" x14ac:dyDescent="0.35">
      <c r="A42" s="52"/>
      <c r="I42" s="80"/>
      <c r="J42" s="81"/>
      <c r="K42" s="81"/>
      <c r="L42" s="82"/>
      <c r="M42" s="83"/>
      <c r="N42" s="84"/>
      <c r="O42" s="84"/>
    </row>
    <row r="43" spans="1:15" x14ac:dyDescent="0.35">
      <c r="A43" s="52"/>
      <c r="I43" s="80"/>
      <c r="J43" s="81"/>
      <c r="K43" s="81"/>
      <c r="L43" s="82"/>
      <c r="M43" s="83"/>
      <c r="N43" s="84"/>
      <c r="O43" s="84"/>
    </row>
    <row r="44" spans="1:15" x14ac:dyDescent="0.35">
      <c r="A44" s="52"/>
      <c r="I44" s="80"/>
      <c r="J44" s="81"/>
      <c r="K44" s="81"/>
      <c r="L44" s="82"/>
      <c r="M44" s="83"/>
      <c r="N44" s="84"/>
      <c r="O44" s="84"/>
    </row>
    <row r="45" spans="1:15" x14ac:dyDescent="0.35">
      <c r="A45" s="52"/>
      <c r="I45" s="80"/>
      <c r="J45" s="81"/>
      <c r="K45" s="81"/>
      <c r="L45" s="82"/>
      <c r="M45" s="83"/>
      <c r="N45" s="84"/>
      <c r="O45" s="84"/>
    </row>
    <row r="46" spans="1:15" x14ac:dyDescent="0.35">
      <c r="A46" s="52"/>
      <c r="I46" s="80"/>
      <c r="J46" s="81"/>
      <c r="K46" s="81"/>
      <c r="L46" s="82"/>
      <c r="M46" s="83"/>
      <c r="N46" s="84"/>
      <c r="O46" s="84"/>
    </row>
    <row r="47" spans="1:15" x14ac:dyDescent="0.35">
      <c r="A47" s="52"/>
      <c r="I47" s="80"/>
      <c r="J47" s="81"/>
      <c r="K47" s="81"/>
      <c r="L47" s="82"/>
      <c r="M47" s="83"/>
      <c r="N47" s="84"/>
      <c r="O47" s="84"/>
    </row>
    <row r="48" spans="1:15" x14ac:dyDescent="0.35">
      <c r="A48" s="52"/>
      <c r="I48" s="80"/>
      <c r="J48" s="81"/>
      <c r="K48" s="81"/>
      <c r="L48" s="82"/>
      <c r="M48" s="83"/>
      <c r="N48" s="84"/>
      <c r="O48" s="84"/>
    </row>
    <row r="49" spans="1:15" x14ac:dyDescent="0.35">
      <c r="A49" s="52"/>
      <c r="I49" s="80"/>
      <c r="J49" s="81"/>
      <c r="K49" s="81"/>
      <c r="L49" s="82"/>
      <c r="M49" s="83"/>
      <c r="N49" s="84"/>
      <c r="O49" s="84"/>
    </row>
    <row r="50" spans="1:15" x14ac:dyDescent="0.35">
      <c r="A50" s="52"/>
      <c r="I50" s="80"/>
      <c r="J50" s="81"/>
      <c r="K50" s="81"/>
      <c r="L50" s="82"/>
      <c r="M50" s="83"/>
      <c r="N50" s="84"/>
      <c r="O50" s="84"/>
    </row>
    <row r="51" spans="1:15" x14ac:dyDescent="0.35">
      <c r="A51" s="52"/>
      <c r="I51" s="80"/>
      <c r="J51" s="81"/>
      <c r="K51" s="81"/>
      <c r="L51" s="82"/>
      <c r="M51" s="83"/>
      <c r="N51" s="84"/>
      <c r="O51" s="84"/>
    </row>
    <row r="52" spans="1:15" x14ac:dyDescent="0.35">
      <c r="A52" s="52"/>
      <c r="I52" s="80"/>
      <c r="J52" s="81"/>
      <c r="K52" s="81"/>
      <c r="L52" s="82"/>
      <c r="M52" s="83"/>
      <c r="N52" s="84"/>
      <c r="O52" s="84"/>
    </row>
    <row r="53" spans="1:15" x14ac:dyDescent="0.35">
      <c r="A53" s="52"/>
      <c r="I53" s="80"/>
      <c r="J53" s="81"/>
      <c r="K53" s="81"/>
      <c r="L53" s="82"/>
      <c r="M53" s="83"/>
      <c r="N53" s="84"/>
      <c r="O53" s="84"/>
    </row>
    <row r="54" spans="1:15" x14ac:dyDescent="0.35">
      <c r="A54" s="52"/>
      <c r="I54" s="80"/>
      <c r="J54" s="81"/>
      <c r="K54" s="81"/>
      <c r="L54" s="82"/>
      <c r="M54" s="83"/>
      <c r="N54" s="84"/>
      <c r="O54" s="84"/>
    </row>
    <row r="55" spans="1:15" x14ac:dyDescent="0.35">
      <c r="A55" s="52"/>
      <c r="I55" s="80"/>
      <c r="J55" s="81"/>
      <c r="K55" s="81"/>
      <c r="L55" s="82"/>
      <c r="M55" s="83"/>
      <c r="N55" s="84"/>
      <c r="O55" s="84"/>
    </row>
    <row r="56" spans="1:15" x14ac:dyDescent="0.35">
      <c r="A56" s="52"/>
      <c r="I56" s="80"/>
      <c r="J56" s="81"/>
      <c r="K56" s="81"/>
      <c r="L56" s="82"/>
      <c r="M56" s="83"/>
      <c r="N56" s="84"/>
      <c r="O56" s="84"/>
    </row>
    <row r="57" spans="1:15" x14ac:dyDescent="0.35">
      <c r="A57" s="52"/>
      <c r="I57" s="80"/>
      <c r="J57" s="81"/>
      <c r="K57" s="81"/>
      <c r="L57" s="82"/>
      <c r="M57" s="83"/>
      <c r="N57" s="84"/>
      <c r="O57" s="84"/>
    </row>
    <row r="58" spans="1:15" x14ac:dyDescent="0.35">
      <c r="A58" s="52"/>
      <c r="I58" s="80"/>
      <c r="J58" s="81"/>
      <c r="K58" s="81"/>
      <c r="L58" s="82"/>
      <c r="M58" s="83"/>
      <c r="N58" s="84"/>
      <c r="O58" s="84"/>
    </row>
    <row r="59" spans="1:15" x14ac:dyDescent="0.35">
      <c r="A59" s="52"/>
      <c r="I59" s="80"/>
      <c r="J59" s="81"/>
      <c r="K59" s="81"/>
      <c r="L59" s="82"/>
      <c r="M59" s="83"/>
      <c r="N59" s="84"/>
      <c r="O59" s="84"/>
    </row>
    <row r="60" spans="1:15" x14ac:dyDescent="0.35">
      <c r="A60" s="52"/>
      <c r="I60" s="80"/>
      <c r="J60" s="81"/>
      <c r="K60" s="81"/>
      <c r="L60" s="82"/>
      <c r="M60" s="83"/>
      <c r="N60" s="84"/>
      <c r="O60" s="84"/>
    </row>
    <row r="61" spans="1:15" x14ac:dyDescent="0.35">
      <c r="A61" s="52"/>
      <c r="I61" s="80"/>
      <c r="J61" s="81"/>
      <c r="K61" s="81"/>
      <c r="L61" s="82"/>
      <c r="M61" s="83"/>
      <c r="N61" s="84"/>
      <c r="O61" s="84"/>
    </row>
    <row r="62" spans="1:15" x14ac:dyDescent="0.35">
      <c r="A62" s="52"/>
      <c r="I62" s="80"/>
      <c r="J62" s="81"/>
      <c r="K62" s="81"/>
      <c r="L62" s="82"/>
      <c r="M62" s="83"/>
      <c r="N62" s="84"/>
      <c r="O62" s="84"/>
    </row>
    <row r="63" spans="1:15" x14ac:dyDescent="0.35">
      <c r="A63" s="52"/>
      <c r="I63" s="80"/>
      <c r="J63" s="81"/>
      <c r="K63" s="81"/>
      <c r="L63" s="82"/>
      <c r="M63" s="83"/>
      <c r="N63" s="84"/>
      <c r="O63" s="84"/>
    </row>
    <row r="64" spans="1:15" x14ac:dyDescent="0.35">
      <c r="A64" s="52"/>
      <c r="I64" s="80"/>
      <c r="J64" s="81"/>
      <c r="K64" s="81"/>
      <c r="L64" s="82"/>
      <c r="M64" s="83"/>
      <c r="N64" s="84"/>
      <c r="O64" s="84"/>
    </row>
    <row r="65" spans="1:1" x14ac:dyDescent="0.35">
      <c r="A65" s="52"/>
    </row>
    <row r="66" spans="1:1" x14ac:dyDescent="0.35">
      <c r="A66" s="52"/>
    </row>
    <row r="67" spans="1:1" x14ac:dyDescent="0.35">
      <c r="A67" s="52"/>
    </row>
    <row r="68" spans="1:1" x14ac:dyDescent="0.35">
      <c r="A68" s="52"/>
    </row>
    <row r="69" spans="1:1" x14ac:dyDescent="0.35">
      <c r="A69" s="52"/>
    </row>
    <row r="70" spans="1:1" x14ac:dyDescent="0.35">
      <c r="A70" s="52"/>
    </row>
    <row r="71" spans="1:1" x14ac:dyDescent="0.35">
      <c r="A71" s="52"/>
    </row>
    <row r="72" spans="1:1" x14ac:dyDescent="0.35">
      <c r="A72" s="52"/>
    </row>
    <row r="73" spans="1:1" x14ac:dyDescent="0.35">
      <c r="A73" s="52"/>
    </row>
    <row r="74" spans="1:1" x14ac:dyDescent="0.35">
      <c r="A74" s="52"/>
    </row>
    <row r="75" spans="1:1" x14ac:dyDescent="0.35">
      <c r="A75" s="52"/>
    </row>
    <row r="76" spans="1:1" x14ac:dyDescent="0.35">
      <c r="A76" s="52"/>
    </row>
    <row r="77" spans="1:1" x14ac:dyDescent="0.35">
      <c r="A77" s="52"/>
    </row>
    <row r="78" spans="1:1" x14ac:dyDescent="0.35">
      <c r="A78" s="52"/>
    </row>
    <row r="79" spans="1:1" x14ac:dyDescent="0.35">
      <c r="A79" s="52"/>
    </row>
    <row r="80" spans="1:1" x14ac:dyDescent="0.35">
      <c r="A80" s="52"/>
    </row>
    <row r="81" spans="1:1" x14ac:dyDescent="0.35">
      <c r="A81" s="52"/>
    </row>
    <row r="82" spans="1:1" x14ac:dyDescent="0.35">
      <c r="A82" s="52"/>
    </row>
    <row r="83" spans="1:1" x14ac:dyDescent="0.35">
      <c r="A83" s="52"/>
    </row>
    <row r="84" spans="1:1" x14ac:dyDescent="0.35">
      <c r="A84" s="52"/>
    </row>
    <row r="85" spans="1:1" x14ac:dyDescent="0.35">
      <c r="A85" s="52"/>
    </row>
    <row r="86" spans="1:1" x14ac:dyDescent="0.35">
      <c r="A86" s="52"/>
    </row>
    <row r="87" spans="1:1" x14ac:dyDescent="0.35">
      <c r="A87" s="52"/>
    </row>
    <row r="88" spans="1:1" x14ac:dyDescent="0.35">
      <c r="A88" s="52"/>
    </row>
    <row r="89" spans="1:1" x14ac:dyDescent="0.35">
      <c r="A89" s="52"/>
    </row>
    <row r="90" spans="1:1" x14ac:dyDescent="0.35">
      <c r="A90" s="52"/>
    </row>
    <row r="91" spans="1:1" x14ac:dyDescent="0.35">
      <c r="A91" s="52"/>
    </row>
    <row r="92" spans="1:1" x14ac:dyDescent="0.35">
      <c r="A92" s="52"/>
    </row>
    <row r="93" spans="1:1" x14ac:dyDescent="0.35">
      <c r="A93" s="52"/>
    </row>
    <row r="94" spans="1:1" x14ac:dyDescent="0.35">
      <c r="A94" s="52"/>
    </row>
    <row r="95" spans="1:1" x14ac:dyDescent="0.35">
      <c r="A95" s="52"/>
    </row>
    <row r="96" spans="1:1" x14ac:dyDescent="0.35">
      <c r="A96" s="52"/>
    </row>
    <row r="97" spans="1:1" x14ac:dyDescent="0.35">
      <c r="A97" s="52"/>
    </row>
    <row r="98" spans="1:1" x14ac:dyDescent="0.35">
      <c r="A98" s="52"/>
    </row>
    <row r="99" spans="1:1" x14ac:dyDescent="0.35">
      <c r="A99" s="52"/>
    </row>
    <row r="100" spans="1:1" x14ac:dyDescent="0.35">
      <c r="A100" s="52"/>
    </row>
    <row r="101" spans="1:1" x14ac:dyDescent="0.35">
      <c r="A101" s="52"/>
    </row>
    <row r="102" spans="1:1" x14ac:dyDescent="0.35">
      <c r="A102" s="52"/>
    </row>
    <row r="103" spans="1:1" x14ac:dyDescent="0.35">
      <c r="A103" s="52"/>
    </row>
    <row r="104" spans="1:1" x14ac:dyDescent="0.35">
      <c r="A104" s="52"/>
    </row>
    <row r="105" spans="1:1" x14ac:dyDescent="0.35">
      <c r="A105" s="52"/>
    </row>
    <row r="106" spans="1:1" x14ac:dyDescent="0.35">
      <c r="A106" s="52"/>
    </row>
    <row r="107" spans="1:1" x14ac:dyDescent="0.35">
      <c r="A107" s="52"/>
    </row>
    <row r="108" spans="1:1" x14ac:dyDescent="0.35">
      <c r="A108" s="52"/>
    </row>
    <row r="109" spans="1:1" x14ac:dyDescent="0.35">
      <c r="A109" s="52"/>
    </row>
  </sheetData>
  <sheetProtection formatCells="0" formatColumns="0" formatRows="0" insertRows="0" deleteRows="0" sort="0" autoFilter="0"/>
  <conditionalFormatting sqref="A1:O2">
    <cfRule type="expression" dxfId="3"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2E8A9-1B63-4C43-8879-02131AF9F099}">
  <sheetPr>
    <tabColor theme="5" tint="0.79998168889431442"/>
  </sheetPr>
  <dimension ref="A1:P66"/>
  <sheetViews>
    <sheetView zoomScaleNormal="100" workbookViewId="0">
      <pane ySplit="1" topLeftCell="A2" activePane="bottomLeft" state="frozen"/>
      <selection activeCell="A2" sqref="A2"/>
      <selection pane="bottomLeft" activeCell="E10" sqref="E10"/>
    </sheetView>
  </sheetViews>
  <sheetFormatPr defaultRowHeight="14.5" x14ac:dyDescent="0.35"/>
  <cols>
    <col min="1" max="1" width="10.08984375" style="25" bestFit="1" customWidth="1"/>
    <col min="2" max="2" width="9.81640625" style="25" customWidth="1"/>
    <col min="3" max="3" width="8.7265625" style="25"/>
    <col min="4" max="4" width="39.08984375" style="25" customWidth="1"/>
    <col min="5" max="9" width="8.7265625" style="25"/>
    <col min="10" max="10" width="10.08984375" style="25" bestFit="1" customWidth="1"/>
    <col min="11" max="13" width="8.7265625" style="25"/>
    <col min="14" max="14" width="9" style="25" bestFit="1" customWidth="1"/>
    <col min="15" max="15" width="12.1796875" style="25" customWidth="1"/>
    <col min="16" max="16" width="11.54296875" style="25" customWidth="1"/>
    <col min="17" max="16384" width="8.7265625" style="25"/>
  </cols>
  <sheetData>
    <row r="1" spans="1:16" s="51" customFormat="1" ht="33.5" customHeight="1" x14ac:dyDescent="0.35">
      <c r="A1" s="51" t="s">
        <v>3</v>
      </c>
      <c r="B1" s="51" t="s">
        <v>4</v>
      </c>
      <c r="C1" s="51" t="s">
        <v>143</v>
      </c>
      <c r="D1" s="51" t="s">
        <v>144</v>
      </c>
      <c r="E1" s="51" t="s">
        <v>145</v>
      </c>
      <c r="F1" s="51" t="s">
        <v>146</v>
      </c>
      <c r="G1" s="51" t="s">
        <v>147</v>
      </c>
      <c r="H1" s="103" t="s">
        <v>223</v>
      </c>
      <c r="J1" s="86" t="s">
        <v>3</v>
      </c>
      <c r="K1" s="85" t="s">
        <v>12</v>
      </c>
      <c r="L1" s="85" t="s">
        <v>13</v>
      </c>
      <c r="M1" s="85" t="s">
        <v>8</v>
      </c>
      <c r="N1" s="85" t="s">
        <v>9</v>
      </c>
      <c r="O1" s="87" t="s">
        <v>15</v>
      </c>
      <c r="P1" s="85" t="s">
        <v>14</v>
      </c>
    </row>
    <row r="2" spans="1:16" x14ac:dyDescent="0.35">
      <c r="A2" s="52"/>
      <c r="J2" s="2" t="e" cm="1" vm="1">
        <f t="array" ref="J2">_xlfn.LET(_xlpm.thd,$D$2:$D$100000,_xlpm.thm,((LEFT(TRIM(_xlpm.thd),4)="Bght")+(LEFT(TRIM(_xlpm.thd),4)="Sold")),_xlfn._xlws.FILTER($A$2:$A$100000,_xlpm.thm))</f>
        <v>#VALUE!</v>
      </c>
      <c r="K2" s="3" t="e" cm="1" vm="1">
        <f t="array" ref="K2">_xlfn.LET(_xlpm.thd,$D$2:$D$100000,_xlpm.thm,((LEFT(TRIM(_xlpm.thd),4)="Bght")+(LEFT(TRIM(_xlpm.thd),4)="Sold")),_xlpm.txt,TRIM(_xlfn._xlws.FILTER(_xlpm.thd,_xlpm.thm)),_xlfn.MAP(_xlpm.txt,_xlfn.LAMBDA(_xlpm.t,IF(LEFT(_xlpm.t,4)="Bght","B","S"))))</f>
        <v>#VALUE!</v>
      </c>
      <c r="L2" s="3" t="e" cm="1" vm="1">
        <f t="array" ref="L2">_xlfn.LET(_xlpm.thd,$D$2:$D$100000,_xlpm.thm,((LEFT(TRIM(_xlpm.thd),4)="Bght")+(LEFT(TRIM(_xlpm.thd),4)="Sold")),_xlpm.txt,TRIM(_xlfn._xlws.FILTER(_xlpm.thd,_xlpm.thm)),_xlfn.MAP(_xlpm.txt,_xlfn.LAMBDA(_xlpm.t,INDEX(_xlfn.TEXTSPLIT(_xlpm.t," "),1,3))))</f>
        <v>#VALUE!</v>
      </c>
      <c r="M2" s="4" t="e" cm="1" vm="1">
        <f t="array" ref="M2">_xlfn.LET(_xlpm.thd,$D$2:$D$100000,_xlpm.thm,((LEFT(TRIM(_xlpm.thd),4)="Bght")+(LEFT(TRIM(_xlpm.thd),4)="Sold")),_xlpm.txt,TRIM(_xlfn._xlws.FILTER(_xlpm.thd,_xlpm.thm)),VALUE(_xlfn.MAP(_xlpm.txt,_xlfn.LAMBDA(_xlpm.t,INDEX(_xlfn.TEXTSPLIT(_xlpm.t," "),1,2)))))</f>
        <v>#VALUE!</v>
      </c>
      <c r="N2" s="5" t="e" cm="1" vm="1">
        <f t="array" ref="N2">_xlfn.LET(_xlpm.thd,$D$2:$D$100000,_xlpm.thm,((LEFT(TRIM(_xlpm.thd),4)="Bght")+(LEFT(TRIM(_xlpm.thd),4)="Sold")),_xlpm.txt,TRIM(_xlfn._xlws.FILTER(_xlpm.thd,_xlpm.thm)),VALUE(_xlfn.MAP(_xlpm.txt,_xlfn.LAMBDA(_xlpm.t,INDEX(_xlfn.TEXTSPLIT(_xlpm.t," "),1,5)))))</f>
        <v>#VALUE!</v>
      </c>
      <c r="O2" s="6" t="e" cm="1" vm="2">
        <f t="array" ref="O2">IF(_xlfn.ANCHORARRAY($K$2)="S",_xlfn.ANCHORARRAY($M$2)*_xlfn.ANCHORARRAY($N$2)-_xlfn.ANCHORARRAY($P$2),_xlfn.ANCHORARRAY($P$2)-_xlfn.ANCHORARRAY($M$2)*_xlfn.ANCHORARRAY($N$2))</f>
        <v>#VALUE!</v>
      </c>
      <c r="P2" s="6" t="e" cm="1" vm="1">
        <f t="array" ref="P2">_xlfn.LET(_xlpm.thd,$D$2:$D$100000,_xlpm.thm,((LEFT(TRIM(_xlpm.thd),4)="Bght")+(LEFT(TRIM(_xlpm.thd),4)="Sold")),_xlpm.deb,_xlfn._xlws.FILTER($E$2:$E$100000,_xlpm.thm),_xlpm.cred,_xlfn._xlws.FILTER($F$2:$F$100000,_xlpm.thm),IF(_xlpm.deb&lt;&gt;"",_xlpm.deb,_xlpm.cred))</f>
        <v>#VALUE!</v>
      </c>
    </row>
    <row r="3" spans="1:16" x14ac:dyDescent="0.35">
      <c r="A3" s="52"/>
      <c r="J3" s="80"/>
      <c r="K3" s="81"/>
      <c r="L3" s="81"/>
      <c r="M3" s="82"/>
      <c r="N3" s="83"/>
      <c r="O3" s="84"/>
      <c r="P3" s="84"/>
    </row>
    <row r="4" spans="1:16" x14ac:dyDescent="0.35">
      <c r="A4" s="52"/>
      <c r="J4" s="80"/>
      <c r="K4" s="81"/>
      <c r="L4" s="81"/>
      <c r="M4" s="82"/>
      <c r="N4" s="83"/>
      <c r="O4" s="84"/>
      <c r="P4" s="84"/>
    </row>
    <row r="5" spans="1:16" x14ac:dyDescent="0.35">
      <c r="A5" s="52"/>
      <c r="J5" s="80"/>
      <c r="K5" s="81"/>
      <c r="L5" s="81"/>
      <c r="M5" s="82"/>
      <c r="N5" s="83"/>
      <c r="O5" s="84"/>
      <c r="P5" s="84"/>
    </row>
    <row r="6" spans="1:16" x14ac:dyDescent="0.35">
      <c r="A6" s="52"/>
      <c r="J6" s="80"/>
      <c r="K6" s="81"/>
      <c r="L6" s="81"/>
      <c r="M6" s="82"/>
      <c r="N6" s="83"/>
      <c r="O6" s="84"/>
      <c r="P6" s="84"/>
    </row>
    <row r="7" spans="1:16" x14ac:dyDescent="0.35">
      <c r="A7" s="52"/>
      <c r="J7" s="80"/>
      <c r="K7" s="81"/>
      <c r="L7" s="81"/>
      <c r="M7" s="82"/>
      <c r="N7" s="83"/>
      <c r="O7" s="84"/>
      <c r="P7" s="84"/>
    </row>
    <row r="8" spans="1:16" x14ac:dyDescent="0.35">
      <c r="A8" s="52"/>
      <c r="J8" s="80"/>
      <c r="K8" s="81"/>
      <c r="L8" s="81"/>
      <c r="M8" s="82"/>
      <c r="N8" s="83"/>
      <c r="O8" s="84"/>
      <c r="P8" s="84"/>
    </row>
    <row r="9" spans="1:16" x14ac:dyDescent="0.35">
      <c r="A9" s="52"/>
      <c r="J9" s="80"/>
      <c r="K9" s="81"/>
      <c r="L9" s="81"/>
      <c r="M9" s="82"/>
      <c r="N9" s="83"/>
      <c r="O9" s="84"/>
      <c r="P9" s="84"/>
    </row>
    <row r="10" spans="1:16" x14ac:dyDescent="0.35">
      <c r="A10" s="52"/>
      <c r="J10" s="80"/>
      <c r="K10" s="81"/>
      <c r="L10" s="81"/>
      <c r="M10" s="82"/>
      <c r="N10" s="83"/>
      <c r="O10" s="84"/>
      <c r="P10" s="84"/>
    </row>
    <row r="11" spans="1:16" x14ac:dyDescent="0.35">
      <c r="A11" s="52"/>
      <c r="J11" s="80"/>
      <c r="K11" s="81"/>
      <c r="L11" s="81"/>
      <c r="M11" s="82"/>
      <c r="N11" s="83"/>
      <c r="O11" s="84"/>
      <c r="P11" s="84"/>
    </row>
    <row r="12" spans="1:16" x14ac:dyDescent="0.35">
      <c r="A12" s="52"/>
      <c r="J12" s="80"/>
      <c r="K12" s="81"/>
      <c r="L12" s="81"/>
      <c r="M12" s="82"/>
      <c r="N12" s="83"/>
      <c r="O12" s="84"/>
      <c r="P12" s="84"/>
    </row>
    <row r="13" spans="1:16" x14ac:dyDescent="0.35">
      <c r="A13" s="52"/>
      <c r="J13" s="80"/>
      <c r="K13" s="81"/>
      <c r="L13" s="81"/>
      <c r="M13" s="82"/>
      <c r="N13" s="83"/>
      <c r="O13" s="84"/>
      <c r="P13" s="84"/>
    </row>
    <row r="14" spans="1:16" x14ac:dyDescent="0.35">
      <c r="A14" s="52"/>
      <c r="J14" s="80"/>
      <c r="K14" s="81"/>
      <c r="L14" s="81"/>
      <c r="M14" s="82"/>
      <c r="N14" s="83"/>
      <c r="O14" s="84"/>
      <c r="P14" s="84"/>
    </row>
    <row r="15" spans="1:16" x14ac:dyDescent="0.35">
      <c r="A15" s="52"/>
      <c r="J15" s="80"/>
      <c r="K15" s="81"/>
      <c r="L15" s="81"/>
      <c r="M15" s="82"/>
      <c r="N15" s="83"/>
      <c r="O15" s="84"/>
      <c r="P15" s="84"/>
    </row>
    <row r="16" spans="1:16" x14ac:dyDescent="0.35">
      <c r="A16" s="52"/>
      <c r="J16" s="80"/>
      <c r="K16" s="81"/>
      <c r="L16" s="81"/>
      <c r="M16" s="82"/>
      <c r="N16" s="83"/>
      <c r="O16" s="84"/>
      <c r="P16" s="84"/>
    </row>
    <row r="17" spans="1:16" x14ac:dyDescent="0.35">
      <c r="A17" s="52"/>
      <c r="J17" s="80"/>
      <c r="K17" s="81"/>
      <c r="L17" s="81"/>
      <c r="M17" s="82"/>
      <c r="N17" s="83"/>
      <c r="O17" s="84"/>
      <c r="P17" s="84"/>
    </row>
    <row r="18" spans="1:16" x14ac:dyDescent="0.35">
      <c r="A18" s="52"/>
      <c r="J18" s="80"/>
      <c r="K18" s="81"/>
      <c r="L18" s="81"/>
      <c r="M18" s="82"/>
      <c r="N18" s="83"/>
      <c r="O18" s="84"/>
      <c r="P18" s="84"/>
    </row>
    <row r="19" spans="1:16" x14ac:dyDescent="0.35">
      <c r="A19" s="52"/>
      <c r="J19" s="80"/>
      <c r="K19" s="81"/>
      <c r="L19" s="81"/>
      <c r="M19" s="82"/>
      <c r="N19" s="83"/>
      <c r="O19" s="84"/>
      <c r="P19" s="84"/>
    </row>
    <row r="20" spans="1:16" x14ac:dyDescent="0.35">
      <c r="A20" s="52"/>
      <c r="J20" s="80"/>
      <c r="K20" s="81"/>
      <c r="L20" s="81"/>
      <c r="M20" s="82"/>
      <c r="N20" s="83"/>
      <c r="O20" s="84"/>
      <c r="P20" s="84"/>
    </row>
    <row r="21" spans="1:16" x14ac:dyDescent="0.35">
      <c r="A21" s="52"/>
      <c r="J21" s="80"/>
      <c r="K21" s="81"/>
      <c r="L21" s="81"/>
      <c r="M21" s="82"/>
      <c r="N21" s="83"/>
      <c r="O21" s="84"/>
      <c r="P21" s="84"/>
    </row>
    <row r="22" spans="1:16" x14ac:dyDescent="0.35">
      <c r="A22" s="52"/>
      <c r="J22" s="80"/>
      <c r="K22" s="81"/>
      <c r="L22" s="81"/>
      <c r="M22" s="82"/>
      <c r="N22" s="83"/>
      <c r="O22" s="84"/>
      <c r="P22" s="84"/>
    </row>
    <row r="23" spans="1:16" x14ac:dyDescent="0.35">
      <c r="A23" s="52"/>
      <c r="J23" s="80"/>
      <c r="K23" s="81"/>
      <c r="L23" s="81"/>
      <c r="M23" s="82"/>
      <c r="N23" s="83"/>
      <c r="O23" s="84"/>
      <c r="P23" s="84"/>
    </row>
    <row r="24" spans="1:16" x14ac:dyDescent="0.35">
      <c r="A24" s="52"/>
      <c r="J24" s="80"/>
      <c r="K24" s="81"/>
      <c r="L24" s="81"/>
      <c r="M24" s="82"/>
      <c r="N24" s="83"/>
      <c r="O24" s="84"/>
      <c r="P24" s="84"/>
    </row>
    <row r="25" spans="1:16" x14ac:dyDescent="0.35">
      <c r="A25" s="52"/>
      <c r="J25" s="80"/>
      <c r="K25" s="81"/>
      <c r="L25" s="81"/>
      <c r="M25" s="82"/>
      <c r="N25" s="83"/>
      <c r="O25" s="84"/>
      <c r="P25" s="84"/>
    </row>
    <row r="26" spans="1:16" x14ac:dyDescent="0.35">
      <c r="A26" s="52"/>
      <c r="J26" s="80"/>
      <c r="K26" s="81"/>
      <c r="L26" s="81"/>
      <c r="M26" s="82"/>
      <c r="N26" s="83"/>
      <c r="O26" s="84"/>
      <c r="P26" s="84"/>
    </row>
    <row r="27" spans="1:16" x14ac:dyDescent="0.35">
      <c r="A27" s="52"/>
      <c r="J27" s="80"/>
      <c r="K27" s="81"/>
      <c r="L27" s="81"/>
      <c r="M27" s="82"/>
      <c r="N27" s="83"/>
      <c r="O27" s="84"/>
      <c r="P27" s="84"/>
    </row>
    <row r="28" spans="1:16" x14ac:dyDescent="0.35">
      <c r="A28" s="52"/>
      <c r="J28" s="80"/>
      <c r="K28" s="81"/>
      <c r="L28" s="81"/>
      <c r="M28" s="82"/>
      <c r="N28" s="83"/>
      <c r="O28" s="84"/>
      <c r="P28" s="84"/>
    </row>
    <row r="29" spans="1:16" x14ac:dyDescent="0.35">
      <c r="A29" s="52"/>
    </row>
    <row r="30" spans="1:16" x14ac:dyDescent="0.35">
      <c r="A30" s="52"/>
    </row>
    <row r="31" spans="1:16" x14ac:dyDescent="0.35">
      <c r="A31" s="52"/>
    </row>
    <row r="32" spans="1:16" x14ac:dyDescent="0.35">
      <c r="A32" s="52"/>
    </row>
    <row r="33" spans="1:1" x14ac:dyDescent="0.35">
      <c r="A33" s="52"/>
    </row>
    <row r="34" spans="1:1" x14ac:dyDescent="0.35">
      <c r="A34" s="52"/>
    </row>
    <row r="35" spans="1:1" x14ac:dyDescent="0.35">
      <c r="A35" s="52"/>
    </row>
    <row r="36" spans="1:1" x14ac:dyDescent="0.35">
      <c r="A36" s="52"/>
    </row>
    <row r="37" spans="1:1" x14ac:dyDescent="0.35">
      <c r="A37" s="52"/>
    </row>
    <row r="38" spans="1:1" x14ac:dyDescent="0.35">
      <c r="A38" s="52"/>
    </row>
    <row r="39" spans="1:1" x14ac:dyDescent="0.35">
      <c r="A39" s="52"/>
    </row>
    <row r="40" spans="1:1" x14ac:dyDescent="0.35">
      <c r="A40" s="52"/>
    </row>
    <row r="41" spans="1:1" x14ac:dyDescent="0.35">
      <c r="A41" s="52"/>
    </row>
    <row r="42" spans="1:1" x14ac:dyDescent="0.35">
      <c r="A42" s="52"/>
    </row>
    <row r="43" spans="1:1" x14ac:dyDescent="0.35">
      <c r="A43" s="52"/>
    </row>
    <row r="44" spans="1:1" x14ac:dyDescent="0.35">
      <c r="A44" s="52"/>
    </row>
    <row r="45" spans="1:1" x14ac:dyDescent="0.35">
      <c r="A45" s="52"/>
    </row>
    <row r="46" spans="1:1" x14ac:dyDescent="0.35">
      <c r="A46" s="52"/>
    </row>
    <row r="47" spans="1:1" x14ac:dyDescent="0.35">
      <c r="A47" s="52"/>
    </row>
    <row r="48" spans="1:1" x14ac:dyDescent="0.35">
      <c r="A48" s="52"/>
    </row>
    <row r="49" spans="1:1" x14ac:dyDescent="0.35">
      <c r="A49" s="52"/>
    </row>
    <row r="50" spans="1:1" x14ac:dyDescent="0.35">
      <c r="A50" s="52"/>
    </row>
    <row r="51" spans="1:1" x14ac:dyDescent="0.35">
      <c r="A51" s="52"/>
    </row>
    <row r="52" spans="1:1" x14ac:dyDescent="0.35">
      <c r="A52" s="52"/>
    </row>
    <row r="53" spans="1:1" x14ac:dyDescent="0.35">
      <c r="A53" s="52"/>
    </row>
    <row r="54" spans="1:1" x14ac:dyDescent="0.35">
      <c r="A54" s="52"/>
    </row>
    <row r="55" spans="1:1" x14ac:dyDescent="0.35">
      <c r="A55" s="52"/>
    </row>
    <row r="56" spans="1:1" x14ac:dyDescent="0.35">
      <c r="A56" s="52"/>
    </row>
    <row r="57" spans="1:1" x14ac:dyDescent="0.35">
      <c r="A57" s="52"/>
    </row>
    <row r="58" spans="1:1" x14ac:dyDescent="0.35">
      <c r="A58" s="52"/>
    </row>
    <row r="59" spans="1:1" x14ac:dyDescent="0.35">
      <c r="A59" s="52"/>
    </row>
    <row r="60" spans="1:1" x14ac:dyDescent="0.35">
      <c r="A60" s="52"/>
    </row>
    <row r="61" spans="1:1" x14ac:dyDescent="0.35">
      <c r="A61" s="52"/>
    </row>
    <row r="62" spans="1:1" x14ac:dyDescent="0.35">
      <c r="A62" s="52"/>
    </row>
    <row r="63" spans="1:1" x14ac:dyDescent="0.35">
      <c r="A63" s="52"/>
    </row>
    <row r="64" spans="1:1" x14ac:dyDescent="0.35">
      <c r="A64" s="52"/>
    </row>
    <row r="65" spans="1:1" x14ac:dyDescent="0.35">
      <c r="A65" s="52"/>
    </row>
    <row r="66" spans="1:1" x14ac:dyDescent="0.35">
      <c r="A66" s="52"/>
    </row>
  </sheetData>
  <sheetProtection formatCells="0" formatColumns="0" formatRows="0" insertRows="0" deleteRows="0" sort="0" autoFilter="0"/>
  <conditionalFormatting sqref="A1:P2">
    <cfRule type="expression" dxfId="2" priority="1">
      <formula>AND(ISERROR(A1),NoTradeData)</formula>
    </cfRule>
  </conditionalFormatting>
  <pageMargins left="0.7" right="0.7" top="0.75" bottom="0.75" header="0.3" footer="0.3"/>
  <pageSetup paperSize="9" orientation="portrait" horizontalDpi="360" verticalDpi="360" r:id="rId1"/>
  <headerFooter>
    <oddFooter>&amp;C© 2026 MAB · CGT Calculator · Licensed under CC BY-NC-SA 4.0 (creativecommons.org/licenses/by-nc-sa/4.0)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Instructions</vt:lpstr>
      <vt:lpstr>Transaction History</vt:lpstr>
      <vt:lpstr>Parsed</vt:lpstr>
      <vt:lpstr>FIFO Matches</vt:lpstr>
      <vt:lpstr>CGT Summary</vt:lpstr>
      <vt:lpstr>CGT Detail</vt:lpstr>
      <vt:lpstr>Holdings 30 Jun</vt:lpstr>
      <vt:lpstr>Trust Distributions</vt:lpstr>
      <vt:lpstr>Considerations</vt:lpstr>
      <vt:lpstr>Cost Base Adjustments</vt:lpstr>
      <vt:lpstr>Account Summary</vt:lpstr>
      <vt:lpstr>Account 1 (CommSec)</vt:lpstr>
      <vt:lpstr>Account 2 (CommSec Pocket)</vt:lpstr>
      <vt:lpstr>Account 3 (CMC)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2026-10-21T10:54:16Z</dcterms:created>
  <dcterms:modified xsi:type="dcterms:W3CDTF">2026-10-21T12:09:31Z</dcterms:modified>
  <cp:category/>
  <cp:contentStatus/>
</cp:coreProperties>
</file>